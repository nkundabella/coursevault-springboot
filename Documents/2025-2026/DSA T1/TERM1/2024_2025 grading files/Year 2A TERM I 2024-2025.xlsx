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in Year 2A" sheetId="1" r:id="rId4"/>
  </sheets>
  <definedNames/>
  <calcPr/>
  <extLst>
    <ext uri="GoogleSheetsCustomDataVersion2">
      <go:sheetsCustomData xmlns:go="http://customooxmlschemas.google.com/" r:id="rId5" roundtripDataChecksum="S/ewhV+tH6V6ewmkqI6t4EhGgRL5snW4bJYIfMcRSD0="/>
    </ext>
  </extLst>
</workbook>
</file>

<file path=xl/sharedStrings.xml><?xml version="1.0" encoding="utf-8"?>
<sst xmlns="http://schemas.openxmlformats.org/spreadsheetml/2006/main" count="83" uniqueCount="73">
  <si>
    <t>S/N</t>
  </si>
  <si>
    <t>First Name</t>
  </si>
  <si>
    <t>Last Name</t>
  </si>
  <si>
    <t>CAT1/100</t>
  </si>
  <si>
    <t>CALCULATOR/10</t>
  </si>
  <si>
    <t>Game/10</t>
  </si>
  <si>
    <t>EXAM/DSA/105</t>
  </si>
  <si>
    <t>CAT/50</t>
  </si>
  <si>
    <t>EXAM/50</t>
  </si>
  <si>
    <t>AGAHIRE</t>
  </si>
  <si>
    <t>Nikita</t>
  </si>
  <si>
    <t>BIZIMANA ISINGIZWE</t>
  </si>
  <si>
    <t>Christian</t>
  </si>
  <si>
    <t>BUGIRI WILSON</t>
  </si>
  <si>
    <t>Goal</t>
  </si>
  <si>
    <t>FURAHA NIYONGIRA</t>
  </si>
  <si>
    <t>Celia</t>
  </si>
  <si>
    <t>IRADUKUNDA</t>
  </si>
  <si>
    <t>Hope</t>
  </si>
  <si>
    <t>IRERE</t>
  </si>
  <si>
    <t>Emmanuel</t>
  </si>
  <si>
    <t>IRISA GIRAMATA</t>
  </si>
  <si>
    <t>Kellia</t>
  </si>
  <si>
    <t>ISHIMWE</t>
  </si>
  <si>
    <t>Jolie Princesse</t>
  </si>
  <si>
    <t>ISHIMWE HIRWA</t>
  </si>
  <si>
    <t xml:space="preserve"> Beni Samuel</t>
  </si>
  <si>
    <t>IYAMUREMYE ISHIMWE</t>
  </si>
  <si>
    <t>Sergine</t>
  </si>
  <si>
    <t>KWIZERA</t>
  </si>
  <si>
    <t>Aimable</t>
  </si>
  <si>
    <t>Copy</t>
  </si>
  <si>
    <t>MANZI GATETE</t>
  </si>
  <si>
    <t>Melvin</t>
  </si>
  <si>
    <t>MAZIMPAKA MIGUEL</t>
  </si>
  <si>
    <t>Gloire Marie</t>
  </si>
  <si>
    <t>MUGISHA</t>
  </si>
  <si>
    <t>Gemimah Gloire</t>
  </si>
  <si>
    <t>MUKUNDWA</t>
  </si>
  <si>
    <t>Aurore</t>
  </si>
  <si>
    <t>MUTAGOMA</t>
  </si>
  <si>
    <t>Patience Isimbi</t>
  </si>
  <si>
    <t>Cf</t>
  </si>
  <si>
    <t>NDAHIRO MUKUNZI</t>
  </si>
  <si>
    <t>Loicke Bedo</t>
  </si>
  <si>
    <t>NDUWINGOMA</t>
  </si>
  <si>
    <t>Marie Ange Gabriella</t>
  </si>
  <si>
    <t>NGABO</t>
  </si>
  <si>
    <t>Oreste</t>
  </si>
  <si>
    <t>NIBEZA AMAHORO</t>
  </si>
  <si>
    <t>Nicole</t>
  </si>
  <si>
    <t>NIYODUSHIMA</t>
  </si>
  <si>
    <t>Belyse</t>
  </si>
  <si>
    <t>NIYUBAHWE UWACU</t>
  </si>
  <si>
    <t>Annick</t>
  </si>
  <si>
    <t>NSHIMIYIMANA IHIRWE</t>
  </si>
  <si>
    <t>Patrick</t>
  </si>
  <si>
    <t>NYIRABISABO KARANGWA</t>
  </si>
  <si>
    <t>Edvine</t>
  </si>
  <si>
    <t>NYUMBAYIRE</t>
  </si>
  <si>
    <t>Laurent</t>
  </si>
  <si>
    <t>RUTAGANDA</t>
  </si>
  <si>
    <t>Salim</t>
  </si>
  <si>
    <t>RWABURINDI</t>
  </si>
  <si>
    <t>Jean Calvin</t>
  </si>
  <si>
    <t>TUYUBAHE</t>
  </si>
  <si>
    <t>Ashrafu</t>
  </si>
  <si>
    <t>UWONKUNDA</t>
  </si>
  <si>
    <t>Mahinga Rodin</t>
  </si>
  <si>
    <t>UWERA</t>
  </si>
  <si>
    <t>Sylvie</t>
  </si>
  <si>
    <t>Year 2A</t>
  </si>
  <si>
    <t>Fabrice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</si>
</sst>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1" fillId="2" fontId="2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3.43"/>
    <col customWidth="1" min="3" max="3" width="22.86"/>
    <col customWidth="1" min="4" max="4" width="18.57"/>
    <col customWidth="1" min="5" max="5" width="9.57"/>
    <col customWidth="1" hidden="1" min="6" max="6" width="33.43"/>
    <col customWidth="1" hidden="1" min="7" max="7" width="8.57"/>
    <col customWidth="1" min="8" max="8" width="18.86"/>
    <col customWidth="1" min="9" max="9" width="11.71"/>
    <col customWidth="1" min="10" max="10" width="15.0"/>
    <col customWidth="1" min="11" max="26" width="8.57"/>
  </cols>
  <sheetData>
    <row r="1" ht="14.25" customHeight="1">
      <c r="A1" s="1" t="s">
        <v>0</v>
      </c>
      <c r="B1" s="2"/>
      <c r="C1" s="2" t="s">
        <v>1</v>
      </c>
      <c r="D1" s="2" t="s">
        <v>2</v>
      </c>
      <c r="E1" s="3" t="s">
        <v>3</v>
      </c>
      <c r="F1" s="2"/>
      <c r="G1" s="2"/>
      <c r="H1" s="4" t="s">
        <v>4</v>
      </c>
      <c r="I1" s="4" t="s">
        <v>5</v>
      </c>
      <c r="J1" s="5" t="s">
        <v>6</v>
      </c>
      <c r="K1" s="4" t="s">
        <v>7</v>
      </c>
      <c r="L1" s="4" t="s">
        <v>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6">
        <v>1.0</v>
      </c>
      <c r="B2" s="2"/>
      <c r="C2" s="6" t="s">
        <v>9</v>
      </c>
      <c r="D2" s="6" t="s">
        <v>10</v>
      </c>
      <c r="E2" s="3">
        <v>71.0</v>
      </c>
      <c r="F2" s="2"/>
      <c r="G2" s="6"/>
      <c r="H2" s="7">
        <v>10.0</v>
      </c>
      <c r="I2" s="7">
        <v>8.0</v>
      </c>
      <c r="J2" s="7">
        <v>44.0</v>
      </c>
      <c r="K2" s="8">
        <f t="shared" ref="K2:K32" si="1">(E2/100)*30+H2+I2</f>
        <v>39.3</v>
      </c>
      <c r="L2" s="9">
        <f t="shared" ref="L2:L24" si="2">J2/2</f>
        <v>22</v>
      </c>
    </row>
    <row r="3" ht="25.5" customHeight="1">
      <c r="A3" s="6">
        <v>2.0</v>
      </c>
      <c r="B3" s="2"/>
      <c r="C3" s="6" t="s">
        <v>11</v>
      </c>
      <c r="D3" s="6" t="s">
        <v>12</v>
      </c>
      <c r="E3" s="3">
        <v>73.0</v>
      </c>
      <c r="F3" s="2"/>
      <c r="G3" s="6"/>
      <c r="H3" s="7">
        <v>5.0</v>
      </c>
      <c r="I3" s="7">
        <v>10.0</v>
      </c>
      <c r="J3" s="7">
        <v>69.5</v>
      </c>
      <c r="K3" s="8">
        <f t="shared" si="1"/>
        <v>36.9</v>
      </c>
      <c r="L3" s="9">
        <f t="shared" si="2"/>
        <v>34.75</v>
      </c>
    </row>
    <row r="4" ht="25.5" customHeight="1">
      <c r="A4" s="6">
        <v>3.0</v>
      </c>
      <c r="B4" s="2"/>
      <c r="C4" s="6" t="s">
        <v>13</v>
      </c>
      <c r="D4" s="6" t="s">
        <v>14</v>
      </c>
      <c r="E4" s="3">
        <v>76.0</v>
      </c>
      <c r="F4" s="2"/>
      <c r="G4" s="6"/>
      <c r="H4" s="7">
        <v>10.0</v>
      </c>
      <c r="I4" s="7">
        <v>10.0</v>
      </c>
      <c r="J4" s="7">
        <v>90.5</v>
      </c>
      <c r="K4" s="8">
        <f t="shared" si="1"/>
        <v>42.8</v>
      </c>
      <c r="L4" s="9">
        <f t="shared" si="2"/>
        <v>45.25</v>
      </c>
    </row>
    <row r="5" ht="25.5" customHeight="1">
      <c r="A5" s="6">
        <v>4.0</v>
      </c>
      <c r="B5" s="2"/>
      <c r="C5" s="6" t="s">
        <v>15</v>
      </c>
      <c r="D5" s="6" t="s">
        <v>16</v>
      </c>
      <c r="E5" s="3">
        <v>72.0</v>
      </c>
      <c r="F5" s="2"/>
      <c r="G5" s="6"/>
      <c r="H5" s="7">
        <v>10.0</v>
      </c>
      <c r="I5" s="7">
        <v>9.0</v>
      </c>
      <c r="J5" s="7">
        <v>92.0</v>
      </c>
      <c r="K5" s="8">
        <f t="shared" si="1"/>
        <v>40.6</v>
      </c>
      <c r="L5" s="9">
        <f t="shared" si="2"/>
        <v>46</v>
      </c>
    </row>
    <row r="6" ht="25.5" customHeight="1">
      <c r="A6" s="6">
        <v>5.0</v>
      </c>
      <c r="B6" s="2"/>
      <c r="C6" s="6" t="s">
        <v>17</v>
      </c>
      <c r="D6" s="6" t="s">
        <v>18</v>
      </c>
      <c r="E6" s="3">
        <v>69.0</v>
      </c>
      <c r="F6" s="2"/>
      <c r="G6" s="6"/>
      <c r="H6" s="7">
        <v>10.0</v>
      </c>
      <c r="I6" s="7">
        <v>10.0</v>
      </c>
      <c r="J6" s="7">
        <v>76.5</v>
      </c>
      <c r="K6" s="8">
        <f t="shared" si="1"/>
        <v>40.7</v>
      </c>
      <c r="L6" s="9">
        <f t="shared" si="2"/>
        <v>38.25</v>
      </c>
    </row>
    <row r="7" ht="25.5" customHeight="1">
      <c r="A7" s="6">
        <v>6.0</v>
      </c>
      <c r="B7" s="2"/>
      <c r="C7" s="6" t="s">
        <v>19</v>
      </c>
      <c r="D7" s="6" t="s">
        <v>20</v>
      </c>
      <c r="E7" s="3">
        <v>86.0</v>
      </c>
      <c r="F7" s="2"/>
      <c r="G7" s="6"/>
      <c r="H7" s="7">
        <v>10.0</v>
      </c>
      <c r="I7" s="7">
        <v>10.0</v>
      </c>
      <c r="J7" s="7">
        <v>93.0</v>
      </c>
      <c r="K7" s="8">
        <f t="shared" si="1"/>
        <v>45.8</v>
      </c>
      <c r="L7" s="9">
        <f t="shared" si="2"/>
        <v>46.5</v>
      </c>
    </row>
    <row r="8" ht="25.5" customHeight="1">
      <c r="A8" s="6">
        <v>7.0</v>
      </c>
      <c r="B8" s="2"/>
      <c r="C8" s="6" t="s">
        <v>21</v>
      </c>
      <c r="D8" s="6" t="s">
        <v>22</v>
      </c>
      <c r="E8" s="3">
        <v>83.0</v>
      </c>
      <c r="F8" s="2"/>
      <c r="G8" s="6"/>
      <c r="H8" s="7">
        <v>10.0</v>
      </c>
      <c r="I8" s="7">
        <v>8.0</v>
      </c>
      <c r="J8" s="7">
        <v>88.0</v>
      </c>
      <c r="K8" s="8">
        <f t="shared" si="1"/>
        <v>42.9</v>
      </c>
      <c r="L8" s="9">
        <f t="shared" si="2"/>
        <v>44</v>
      </c>
    </row>
    <row r="9" ht="25.5" customHeight="1">
      <c r="A9" s="6">
        <v>8.0</v>
      </c>
      <c r="B9" s="2"/>
      <c r="C9" s="6" t="s">
        <v>23</v>
      </c>
      <c r="D9" s="6" t="s">
        <v>24</v>
      </c>
      <c r="E9" s="3">
        <v>69.0</v>
      </c>
      <c r="F9" s="2"/>
      <c r="G9" s="6"/>
      <c r="H9" s="7">
        <v>10.0</v>
      </c>
      <c r="I9" s="7">
        <v>10.0</v>
      </c>
      <c r="J9" s="7">
        <v>76.5</v>
      </c>
      <c r="K9" s="8">
        <f t="shared" si="1"/>
        <v>40.7</v>
      </c>
      <c r="L9" s="9">
        <f t="shared" si="2"/>
        <v>38.25</v>
      </c>
    </row>
    <row r="10" ht="25.5" customHeight="1">
      <c r="A10" s="6">
        <v>9.0</v>
      </c>
      <c r="B10" s="2"/>
      <c r="C10" s="6" t="s">
        <v>25</v>
      </c>
      <c r="D10" s="6" t="s">
        <v>26</v>
      </c>
      <c r="E10" s="3">
        <v>82.0</v>
      </c>
      <c r="F10" s="2"/>
      <c r="G10" s="6"/>
      <c r="H10" s="7">
        <v>5.0</v>
      </c>
      <c r="I10" s="7">
        <v>9.0</v>
      </c>
      <c r="J10" s="7">
        <v>94.5</v>
      </c>
      <c r="K10" s="8">
        <f t="shared" si="1"/>
        <v>38.6</v>
      </c>
      <c r="L10" s="9">
        <f t="shared" si="2"/>
        <v>47.25</v>
      </c>
    </row>
    <row r="11" ht="25.5" customHeight="1">
      <c r="A11" s="6">
        <v>10.0</v>
      </c>
      <c r="B11" s="2"/>
      <c r="C11" s="6" t="s">
        <v>27</v>
      </c>
      <c r="D11" s="6" t="s">
        <v>28</v>
      </c>
      <c r="E11" s="3">
        <v>89.0</v>
      </c>
      <c r="F11" s="2"/>
      <c r="G11" s="6"/>
      <c r="H11" s="7">
        <v>9.0</v>
      </c>
      <c r="I11" s="7">
        <v>8.0</v>
      </c>
      <c r="J11" s="7">
        <v>92.0</v>
      </c>
      <c r="K11" s="8">
        <f t="shared" si="1"/>
        <v>43.7</v>
      </c>
      <c r="L11" s="9">
        <f t="shared" si="2"/>
        <v>46</v>
      </c>
    </row>
    <row r="12" ht="25.5" customHeight="1">
      <c r="A12" s="6">
        <v>11.0</v>
      </c>
      <c r="B12" s="2"/>
      <c r="C12" s="6" t="s">
        <v>29</v>
      </c>
      <c r="D12" s="6" t="s">
        <v>30</v>
      </c>
      <c r="E12" s="3">
        <v>87.0</v>
      </c>
      <c r="F12" s="2"/>
      <c r="G12" s="6"/>
      <c r="H12" s="7">
        <v>10.0</v>
      </c>
      <c r="I12" s="7">
        <v>9.0</v>
      </c>
      <c r="J12" s="7">
        <v>81.5</v>
      </c>
      <c r="K12" s="8">
        <f t="shared" si="1"/>
        <v>45.1</v>
      </c>
      <c r="L12" s="9">
        <f t="shared" si="2"/>
        <v>40.75</v>
      </c>
      <c r="N12" s="7" t="s">
        <v>31</v>
      </c>
    </row>
    <row r="13" ht="25.5" customHeight="1">
      <c r="A13" s="10">
        <v>12.0</v>
      </c>
      <c r="B13" s="11"/>
      <c r="C13" s="10" t="s">
        <v>32</v>
      </c>
      <c r="D13" s="10" t="s">
        <v>33</v>
      </c>
      <c r="E13" s="12">
        <v>67.0</v>
      </c>
      <c r="F13" s="11"/>
      <c r="G13" s="10"/>
      <c r="H13" s="13">
        <v>10.0</v>
      </c>
      <c r="I13" s="13">
        <v>10.0</v>
      </c>
      <c r="J13" s="13">
        <v>0.0</v>
      </c>
      <c r="K13" s="8">
        <f t="shared" si="1"/>
        <v>40.1</v>
      </c>
      <c r="L13" s="9">
        <f t="shared" si="2"/>
        <v>0</v>
      </c>
    </row>
    <row r="14" ht="25.5" customHeight="1">
      <c r="A14" s="6">
        <v>13.0</v>
      </c>
      <c r="B14" s="2"/>
      <c r="C14" s="6" t="s">
        <v>34</v>
      </c>
      <c r="D14" s="6" t="s">
        <v>35</v>
      </c>
      <c r="E14" s="3">
        <v>68.0</v>
      </c>
      <c r="F14" s="2"/>
      <c r="G14" s="6"/>
      <c r="H14" s="7">
        <v>5.0</v>
      </c>
      <c r="I14" s="7">
        <v>10.0</v>
      </c>
      <c r="J14" s="7">
        <v>66.5</v>
      </c>
      <c r="K14" s="8">
        <f t="shared" si="1"/>
        <v>35.4</v>
      </c>
      <c r="L14" s="9">
        <f t="shared" si="2"/>
        <v>33.25</v>
      </c>
    </row>
    <row r="15" ht="25.5" customHeight="1">
      <c r="A15" s="6">
        <v>14.0</v>
      </c>
      <c r="B15" s="2"/>
      <c r="C15" s="6" t="s">
        <v>36</v>
      </c>
      <c r="D15" s="6" t="s">
        <v>37</v>
      </c>
      <c r="E15" s="3">
        <v>46.0</v>
      </c>
      <c r="F15" s="2"/>
      <c r="G15" s="6"/>
      <c r="H15" s="7">
        <v>9.0</v>
      </c>
      <c r="I15" s="7">
        <v>10.0</v>
      </c>
      <c r="J15" s="7">
        <v>44.0</v>
      </c>
      <c r="K15" s="8">
        <f t="shared" si="1"/>
        <v>32.8</v>
      </c>
      <c r="L15" s="9">
        <f t="shared" si="2"/>
        <v>22</v>
      </c>
    </row>
    <row r="16" ht="25.5" customHeight="1">
      <c r="A16" s="6">
        <v>15.0</v>
      </c>
      <c r="B16" s="2"/>
      <c r="C16" s="6" t="s">
        <v>38</v>
      </c>
      <c r="D16" s="6" t="s">
        <v>39</v>
      </c>
      <c r="E16" s="3">
        <v>80.0</v>
      </c>
      <c r="F16" s="2"/>
      <c r="G16" s="6"/>
      <c r="H16" s="7">
        <v>10.0</v>
      </c>
      <c r="I16" s="7">
        <v>9.0</v>
      </c>
      <c r="J16" s="7">
        <v>79.0</v>
      </c>
      <c r="K16" s="8">
        <f t="shared" si="1"/>
        <v>43</v>
      </c>
      <c r="L16" s="9">
        <f t="shared" si="2"/>
        <v>39.5</v>
      </c>
    </row>
    <row r="17" ht="25.5" customHeight="1">
      <c r="A17" s="6">
        <v>16.0</v>
      </c>
      <c r="B17" s="2"/>
      <c r="C17" s="6" t="s">
        <v>40</v>
      </c>
      <c r="D17" s="6" t="s">
        <v>41</v>
      </c>
      <c r="E17" s="3">
        <v>36.0</v>
      </c>
      <c r="F17" s="2"/>
      <c r="G17" s="6"/>
      <c r="H17" s="7">
        <v>10.0</v>
      </c>
      <c r="I17" s="7">
        <v>9.0</v>
      </c>
      <c r="J17" s="7">
        <v>92.5</v>
      </c>
      <c r="K17" s="8">
        <f t="shared" si="1"/>
        <v>29.8</v>
      </c>
      <c r="L17" s="9">
        <f t="shared" si="2"/>
        <v>46.25</v>
      </c>
      <c r="M17" s="7" t="s">
        <v>42</v>
      </c>
    </row>
    <row r="18" ht="25.5" customHeight="1">
      <c r="A18" s="6">
        <v>17.0</v>
      </c>
      <c r="B18" s="2"/>
      <c r="C18" s="6" t="s">
        <v>43</v>
      </c>
      <c r="D18" s="6" t="s">
        <v>44</v>
      </c>
      <c r="E18" s="3">
        <v>66.0</v>
      </c>
      <c r="F18" s="2"/>
      <c r="G18" s="6"/>
      <c r="H18" s="7">
        <v>10.0</v>
      </c>
      <c r="I18" s="7">
        <v>10.0</v>
      </c>
      <c r="J18" s="7">
        <v>82.0</v>
      </c>
      <c r="K18" s="8">
        <f t="shared" si="1"/>
        <v>39.8</v>
      </c>
      <c r="L18" s="9">
        <f t="shared" si="2"/>
        <v>41</v>
      </c>
      <c r="M18" s="7" t="s">
        <v>42</v>
      </c>
    </row>
    <row r="19" ht="25.5" customHeight="1">
      <c r="A19" s="6">
        <v>18.0</v>
      </c>
      <c r="B19" s="2"/>
      <c r="C19" s="6" t="s">
        <v>45</v>
      </c>
      <c r="D19" s="6" t="s">
        <v>46</v>
      </c>
      <c r="E19" s="3">
        <v>77.0</v>
      </c>
      <c r="F19" s="2"/>
      <c r="G19" s="6"/>
      <c r="H19" s="7">
        <v>10.0</v>
      </c>
      <c r="I19" s="7">
        <v>10.0</v>
      </c>
      <c r="J19" s="7">
        <v>76.5</v>
      </c>
      <c r="K19" s="8">
        <f t="shared" si="1"/>
        <v>43.1</v>
      </c>
      <c r="L19" s="9">
        <f t="shared" si="2"/>
        <v>38.25</v>
      </c>
      <c r="M19" s="7" t="s">
        <v>42</v>
      </c>
    </row>
    <row r="20" ht="25.5" customHeight="1">
      <c r="A20" s="6">
        <v>19.0</v>
      </c>
      <c r="B20" s="2"/>
      <c r="C20" s="6" t="s">
        <v>47</v>
      </c>
      <c r="D20" s="6" t="s">
        <v>48</v>
      </c>
      <c r="E20" s="3">
        <v>86.0</v>
      </c>
      <c r="F20" s="2"/>
      <c r="G20" s="6"/>
      <c r="H20" s="7">
        <v>10.0</v>
      </c>
      <c r="I20" s="7">
        <v>10.0</v>
      </c>
      <c r="J20" s="7">
        <v>90.0</v>
      </c>
      <c r="K20" s="8">
        <f t="shared" si="1"/>
        <v>45.8</v>
      </c>
      <c r="L20" s="9">
        <f t="shared" si="2"/>
        <v>45</v>
      </c>
      <c r="M20" s="7" t="s">
        <v>42</v>
      </c>
    </row>
    <row r="21" ht="25.5" customHeight="1">
      <c r="A21" s="6">
        <v>20.0</v>
      </c>
      <c r="B21" s="2"/>
      <c r="C21" s="6" t="s">
        <v>49</v>
      </c>
      <c r="D21" s="6" t="s">
        <v>50</v>
      </c>
      <c r="E21" s="3">
        <v>68.0</v>
      </c>
      <c r="F21" s="2"/>
      <c r="G21" s="6"/>
      <c r="H21" s="7">
        <v>9.0</v>
      </c>
      <c r="I21" s="7">
        <v>10.0</v>
      </c>
      <c r="J21" s="7">
        <v>97.0</v>
      </c>
      <c r="K21" s="8">
        <f t="shared" si="1"/>
        <v>39.4</v>
      </c>
      <c r="L21" s="9">
        <f t="shared" si="2"/>
        <v>48.5</v>
      </c>
      <c r="M21" s="7" t="s">
        <v>42</v>
      </c>
    </row>
    <row r="22" ht="25.5" customHeight="1">
      <c r="A22" s="6">
        <v>21.0</v>
      </c>
      <c r="B22" s="2"/>
      <c r="C22" s="6" t="s">
        <v>51</v>
      </c>
      <c r="D22" s="6" t="s">
        <v>52</v>
      </c>
      <c r="E22" s="3">
        <v>44.0</v>
      </c>
      <c r="F22" s="2"/>
      <c r="G22" s="6"/>
      <c r="H22" s="7">
        <v>10.0</v>
      </c>
      <c r="I22" s="7">
        <v>9.0</v>
      </c>
      <c r="J22" s="7">
        <v>49.5</v>
      </c>
      <c r="K22" s="8">
        <f t="shared" si="1"/>
        <v>32.2</v>
      </c>
      <c r="L22" s="9">
        <f t="shared" si="2"/>
        <v>24.75</v>
      </c>
      <c r="M22" s="7" t="s">
        <v>42</v>
      </c>
    </row>
    <row r="23" ht="25.5" customHeight="1">
      <c r="A23" s="6">
        <v>22.0</v>
      </c>
      <c r="B23" s="2"/>
      <c r="C23" s="6" t="s">
        <v>53</v>
      </c>
      <c r="D23" s="6" t="s">
        <v>54</v>
      </c>
      <c r="E23" s="3">
        <v>79.0</v>
      </c>
      <c r="F23" s="2"/>
      <c r="G23" s="6"/>
      <c r="H23" s="7">
        <v>10.0</v>
      </c>
      <c r="I23" s="7">
        <v>9.0</v>
      </c>
      <c r="J23" s="7">
        <v>87.0</v>
      </c>
      <c r="K23" s="8">
        <f t="shared" si="1"/>
        <v>42.7</v>
      </c>
      <c r="L23" s="9">
        <f t="shared" si="2"/>
        <v>43.5</v>
      </c>
      <c r="M23" s="7" t="s">
        <v>42</v>
      </c>
    </row>
    <row r="24" ht="25.5" customHeight="1">
      <c r="A24" s="6">
        <v>23.0</v>
      </c>
      <c r="B24" s="2"/>
      <c r="C24" s="6" t="s">
        <v>55</v>
      </c>
      <c r="D24" s="6" t="s">
        <v>56</v>
      </c>
      <c r="E24" s="3">
        <v>77.0</v>
      </c>
      <c r="F24" s="2"/>
      <c r="G24" s="6"/>
      <c r="H24" s="7">
        <v>10.0</v>
      </c>
      <c r="I24" s="7">
        <v>10.0</v>
      </c>
      <c r="J24" s="7">
        <v>89.0</v>
      </c>
      <c r="K24" s="8">
        <f t="shared" si="1"/>
        <v>43.1</v>
      </c>
      <c r="L24" s="9">
        <f t="shared" si="2"/>
        <v>44.5</v>
      </c>
      <c r="M24" s="7" t="s">
        <v>42</v>
      </c>
    </row>
    <row r="25" ht="25.5" customHeight="1">
      <c r="A25" s="6">
        <v>24.0</v>
      </c>
      <c r="B25" s="2"/>
      <c r="C25" s="6" t="s">
        <v>57</v>
      </c>
      <c r="D25" s="6" t="s">
        <v>58</v>
      </c>
      <c r="E25" s="3">
        <v>80.0</v>
      </c>
      <c r="F25" s="2"/>
      <c r="G25" s="6"/>
      <c r="H25" s="7">
        <v>10.0</v>
      </c>
      <c r="I25" s="7">
        <v>9.0</v>
      </c>
      <c r="J25" s="7">
        <v>67.0</v>
      </c>
      <c r="K25" s="8">
        <f t="shared" si="1"/>
        <v>43</v>
      </c>
      <c r="L25" s="9">
        <f>(J25)*50/90</f>
        <v>37.22222222</v>
      </c>
      <c r="M25" s="7" t="s">
        <v>42</v>
      </c>
    </row>
    <row r="26" ht="25.5" customHeight="1">
      <c r="A26" s="6">
        <v>25.0</v>
      </c>
      <c r="B26" s="2"/>
      <c r="C26" s="6" t="s">
        <v>59</v>
      </c>
      <c r="D26" s="6" t="s">
        <v>60</v>
      </c>
      <c r="E26" s="3">
        <v>63.0</v>
      </c>
      <c r="F26" s="2"/>
      <c r="G26" s="6"/>
      <c r="H26" s="7">
        <v>10.0</v>
      </c>
      <c r="I26" s="7">
        <v>10.0</v>
      </c>
      <c r="J26" s="7">
        <v>92.0</v>
      </c>
      <c r="K26" s="8">
        <f t="shared" si="1"/>
        <v>38.9</v>
      </c>
      <c r="L26" s="9">
        <f t="shared" ref="L26:L32" si="3">J26/2</f>
        <v>46</v>
      </c>
      <c r="M26" s="7" t="s">
        <v>42</v>
      </c>
    </row>
    <row r="27" ht="25.5" customHeight="1">
      <c r="A27" s="6">
        <v>26.0</v>
      </c>
      <c r="B27" s="2"/>
      <c r="C27" s="6" t="s">
        <v>61</v>
      </c>
      <c r="D27" s="6" t="s">
        <v>62</v>
      </c>
      <c r="E27" s="3">
        <v>53.0</v>
      </c>
      <c r="F27" s="2"/>
      <c r="G27" s="6"/>
      <c r="H27" s="7">
        <v>10.0</v>
      </c>
      <c r="I27" s="7">
        <v>9.0</v>
      </c>
      <c r="J27" s="7">
        <v>56.5</v>
      </c>
      <c r="K27" s="8">
        <f t="shared" si="1"/>
        <v>34.9</v>
      </c>
      <c r="L27" s="9">
        <f t="shared" si="3"/>
        <v>28.25</v>
      </c>
    </row>
    <row r="28" ht="25.5" customHeight="1">
      <c r="A28" s="6">
        <v>27.0</v>
      </c>
      <c r="B28" s="2"/>
      <c r="C28" s="6" t="s">
        <v>63</v>
      </c>
      <c r="D28" s="6" t="s">
        <v>64</v>
      </c>
      <c r="E28" s="3">
        <v>57.0</v>
      </c>
      <c r="F28" s="2"/>
      <c r="G28" s="6"/>
      <c r="H28" s="7">
        <v>10.0</v>
      </c>
      <c r="I28" s="7">
        <v>10.0</v>
      </c>
      <c r="J28" s="7">
        <v>76.0</v>
      </c>
      <c r="K28" s="8">
        <f t="shared" si="1"/>
        <v>37.1</v>
      </c>
      <c r="L28" s="9">
        <f t="shared" si="3"/>
        <v>38</v>
      </c>
    </row>
    <row r="29" ht="25.5" customHeight="1">
      <c r="A29" s="6">
        <v>28.0</v>
      </c>
      <c r="B29" s="2"/>
      <c r="C29" s="6" t="s">
        <v>65</v>
      </c>
      <c r="D29" s="6" t="s">
        <v>66</v>
      </c>
      <c r="E29" s="3">
        <v>84.0</v>
      </c>
      <c r="F29" s="2"/>
      <c r="G29" s="6"/>
      <c r="H29" s="7">
        <v>10.0</v>
      </c>
      <c r="I29" s="7">
        <v>10.0</v>
      </c>
      <c r="J29" s="7">
        <v>67.5</v>
      </c>
      <c r="K29" s="8">
        <f t="shared" si="1"/>
        <v>45.2</v>
      </c>
      <c r="L29" s="9">
        <f t="shared" si="3"/>
        <v>33.75</v>
      </c>
    </row>
    <row r="30" ht="25.5" customHeight="1">
      <c r="A30" s="6">
        <v>29.0</v>
      </c>
      <c r="B30" s="2"/>
      <c r="C30" s="6" t="s">
        <v>67</v>
      </c>
      <c r="D30" s="6" t="s">
        <v>68</v>
      </c>
      <c r="E30" s="3">
        <v>59.0</v>
      </c>
      <c r="F30" s="2"/>
      <c r="G30" s="6"/>
      <c r="H30" s="7">
        <v>10.0</v>
      </c>
      <c r="I30" s="7">
        <v>9.0</v>
      </c>
      <c r="J30" s="7">
        <v>58.0</v>
      </c>
      <c r="K30" s="8">
        <f t="shared" si="1"/>
        <v>36.7</v>
      </c>
      <c r="L30" s="9">
        <f t="shared" si="3"/>
        <v>29</v>
      </c>
    </row>
    <row r="31" ht="25.5" customHeight="1">
      <c r="A31" s="6">
        <v>30.0</v>
      </c>
      <c r="B31" s="2"/>
      <c r="C31" s="6" t="s">
        <v>69</v>
      </c>
      <c r="D31" s="6" t="s">
        <v>70</v>
      </c>
      <c r="E31" s="3">
        <v>71.0</v>
      </c>
      <c r="F31" s="2"/>
      <c r="G31" s="6" t="s">
        <v>71</v>
      </c>
      <c r="H31" s="7">
        <v>10.0</v>
      </c>
      <c r="I31" s="7">
        <v>10.0</v>
      </c>
      <c r="J31" s="7">
        <v>84.5</v>
      </c>
      <c r="K31" s="8">
        <f t="shared" si="1"/>
        <v>41.3</v>
      </c>
      <c r="L31" s="9">
        <f t="shared" si="3"/>
        <v>42.25</v>
      </c>
    </row>
    <row r="32" ht="25.5" customHeight="1">
      <c r="A32" s="14">
        <v>31.0</v>
      </c>
      <c r="B32" s="14"/>
      <c r="C32" s="14" t="s">
        <v>23</v>
      </c>
      <c r="D32" s="14" t="s">
        <v>72</v>
      </c>
      <c r="E32" s="14"/>
      <c r="J32" s="7">
        <v>63.5</v>
      </c>
      <c r="K32" s="8">
        <f t="shared" si="1"/>
        <v>0</v>
      </c>
      <c r="L32" s="9">
        <f t="shared" si="3"/>
        <v>31.75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2024-09-02T10:47:46Z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