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in Year 2D" sheetId="1" r:id="rId4"/>
    <sheet state="visible" name="Groups" sheetId="2" r:id="rId5"/>
  </sheets>
  <definedNames/>
  <calcPr/>
  <extLst>
    <ext uri="GoogleSheetsCustomDataVersion2">
      <go:sheetsCustomData xmlns:go="http://customooxmlschemas.google.com/" r:id="rId6" roundtripDataChecksum="t9az1z1QJpScXZCfzxK6HeheBco0h6t9g8HPc7+hOP8="/>
    </ext>
  </extLst>
</workbook>
</file>

<file path=xl/sharedStrings.xml><?xml version="1.0" encoding="utf-8"?>
<sst xmlns="http://schemas.openxmlformats.org/spreadsheetml/2006/main" count="402" uniqueCount="149">
  <si>
    <t>Pa</t>
  </si>
  <si>
    <t>Student Id</t>
  </si>
  <si>
    <t>First Name</t>
  </si>
  <si>
    <t>Last Name</t>
  </si>
  <si>
    <t>SEX</t>
  </si>
  <si>
    <t>Email</t>
  </si>
  <si>
    <t>New class</t>
  </si>
  <si>
    <t>CAT/100</t>
  </si>
  <si>
    <t>Calculator</t>
  </si>
  <si>
    <t>Word Guessing</t>
  </si>
  <si>
    <t>EXAM/DSA/105</t>
  </si>
  <si>
    <t>CAT/50</t>
  </si>
  <si>
    <t>Exam/50</t>
  </si>
  <si>
    <t>KCA04001ABC</t>
  </si>
  <si>
    <t>KAMAHORO LINDA</t>
  </si>
  <si>
    <t>Kellia</t>
  </si>
  <si>
    <t>F</t>
  </si>
  <si>
    <t>kamahorolinda@gmail.com</t>
  </si>
  <si>
    <t>Year 2D</t>
  </si>
  <si>
    <t>RCA0302RYO</t>
  </si>
  <si>
    <t>IZABAYO</t>
  </si>
  <si>
    <t>Nadine</t>
  </si>
  <si>
    <t>izabayonadine08@gmail.com</t>
  </si>
  <si>
    <t>RCA05001BCQ</t>
  </si>
  <si>
    <t>ABAYO HIRWA</t>
  </si>
  <si>
    <t>Jovin</t>
  </si>
  <si>
    <t>M</t>
  </si>
  <si>
    <t>abayohirwajovin@gmail.com</t>
  </si>
  <si>
    <t>3 claimed</t>
  </si>
  <si>
    <t>RCA05006XYQ</t>
  </si>
  <si>
    <t>AMANI</t>
  </si>
  <si>
    <t>Patrick</t>
  </si>
  <si>
    <t>pazzoamani@gmail.com</t>
  </si>
  <si>
    <t>RCA05012MNB</t>
  </si>
  <si>
    <t>BYUKUSENGE</t>
  </si>
  <si>
    <t>Andre</t>
  </si>
  <si>
    <t>andrebyukusenge9@gmail.com</t>
  </si>
  <si>
    <t>RCA05014DFG</t>
  </si>
  <si>
    <t>DUSHIMIRE</t>
  </si>
  <si>
    <t>Aine</t>
  </si>
  <si>
    <t>ainedushimire@gmail.com</t>
  </si>
  <si>
    <t>RCA05019VXC</t>
  </si>
  <si>
    <t>GANZA RWABUHAMA</t>
  </si>
  <si>
    <t>Danny Mike</t>
  </si>
  <si>
    <t>ganzardannymike@gmail.com</t>
  </si>
  <si>
    <t>RCA05023LKM</t>
  </si>
  <si>
    <t>HUMURA</t>
  </si>
  <si>
    <t>Elvin</t>
  </si>
  <si>
    <t>humura53@gmail.com</t>
  </si>
  <si>
    <t>RCA05032UYT</t>
  </si>
  <si>
    <t>IRASUBIZA NTWARI</t>
  </si>
  <si>
    <t>Gloria</t>
  </si>
  <si>
    <t>gloriantwari@gmail.com</t>
  </si>
  <si>
    <t>RCA05035TYD</t>
  </si>
  <si>
    <t>ISHEMA NKERABAHIZI</t>
  </si>
  <si>
    <t>Love</t>
  </si>
  <si>
    <t>ishemalove@gmail.com</t>
  </si>
  <si>
    <t>2 claimed</t>
  </si>
  <si>
    <t>RCA05036LKN</t>
  </si>
  <si>
    <t>ISHIMWE</t>
  </si>
  <si>
    <t>Benitha</t>
  </si>
  <si>
    <t>ibenitha36@gmail.com</t>
  </si>
  <si>
    <t>RCA05039XDH</t>
  </si>
  <si>
    <t>ISHIMWE TETA</t>
  </si>
  <si>
    <t>Liana</t>
  </si>
  <si>
    <t>tetaliana287@gmail.com</t>
  </si>
  <si>
    <t>RCA05040FVR</t>
  </si>
  <si>
    <t>ISIMBI</t>
  </si>
  <si>
    <t>Hyguette</t>
  </si>
  <si>
    <t>isimbihyguette24@gmail.com</t>
  </si>
  <si>
    <t>RCA05044QFS</t>
  </si>
  <si>
    <t>KAGABO</t>
  </si>
  <si>
    <t>Irene Lucky</t>
  </si>
  <si>
    <t>kagabolucky72@gmail.com</t>
  </si>
  <si>
    <t>5 claimed</t>
  </si>
  <si>
    <t>RCA05048CVB</t>
  </si>
  <si>
    <t>KIREZI</t>
  </si>
  <si>
    <t>Livia</t>
  </si>
  <si>
    <t>kirezilivia@gmail.com</t>
  </si>
  <si>
    <t>1 claimed</t>
  </si>
  <si>
    <t>RCA05056ZLS</t>
  </si>
  <si>
    <t>MICO</t>
  </si>
  <si>
    <t>Faith</t>
  </si>
  <si>
    <t>faithmico25@gmail.com</t>
  </si>
  <si>
    <t>RCA05057QJP</t>
  </si>
  <si>
    <t>MIGISHA</t>
  </si>
  <si>
    <t>Ivan</t>
  </si>
  <si>
    <t>yvanmigisha@gmail.com</t>
  </si>
  <si>
    <t>RCA05058BZH</t>
  </si>
  <si>
    <t>MUCYO</t>
  </si>
  <si>
    <t>mucyoivan25@gmail.com</t>
  </si>
  <si>
    <t>RCA05059KWA</t>
  </si>
  <si>
    <t>MUGABE INEZA</t>
  </si>
  <si>
    <t>Promesse</t>
  </si>
  <si>
    <t>mugabepromesse@gmail.com</t>
  </si>
  <si>
    <t xml:space="preserve">RCA05060YCM </t>
  </si>
  <si>
    <t>MUGISHA</t>
  </si>
  <si>
    <t>Chrispin</t>
  </si>
  <si>
    <t>mugishachrispin590@gmail.com</t>
  </si>
  <si>
    <t>RCA0506116NMP</t>
  </si>
  <si>
    <t>UWAYO</t>
  </si>
  <si>
    <t>Pascaline</t>
  </si>
  <si>
    <t>pascuwayo@gmail.com</t>
  </si>
  <si>
    <t>RCA05072XDA</t>
  </si>
  <si>
    <t>MUZORA TETA</t>
  </si>
  <si>
    <t>Ciara</t>
  </si>
  <si>
    <t>ciaramuzora@gmail.com</t>
  </si>
  <si>
    <t>2.5 claimed</t>
  </si>
  <si>
    <t>RCA05079VTK</t>
  </si>
  <si>
    <t>NINSIIMA</t>
  </si>
  <si>
    <t>Angella</t>
  </si>
  <si>
    <t>angellaninsiima22@gmail.com</t>
  </si>
  <si>
    <t>RCA05089POD</t>
  </si>
  <si>
    <t>NKUNDABAGENZI</t>
  </si>
  <si>
    <t>Jeremie</t>
  </si>
  <si>
    <t>nkundabagenzijeremy@gmail.com</t>
  </si>
  <si>
    <t>RCA05093WXK</t>
  </si>
  <si>
    <t>NTWALI</t>
  </si>
  <si>
    <t>Isimbi Vieira</t>
  </si>
  <si>
    <t>ntwaliisimbivieira@gmail.com</t>
  </si>
  <si>
    <t>RCA05098MPX</t>
  </si>
  <si>
    <t>RUTAYISIRE</t>
  </si>
  <si>
    <t>Gael</t>
  </si>
  <si>
    <t>rutayisiregael2000@gmail.com</t>
  </si>
  <si>
    <t>RCA05099QXK</t>
  </si>
  <si>
    <t>RUYANGE</t>
  </si>
  <si>
    <t>Arnold</t>
  </si>
  <si>
    <t>arnwolfie5@gmail.com</t>
  </si>
  <si>
    <t>RCA05101SWV</t>
  </si>
  <si>
    <t>SENGA GLOIRE MARGUERITE</t>
  </si>
  <si>
    <t>Marie</t>
  </si>
  <si>
    <t>sengagloire2007@gmail.com</t>
  </si>
  <si>
    <t>RCA05107AXG</t>
  </si>
  <si>
    <t>TETA GATERA</t>
  </si>
  <si>
    <t>Raissa</t>
  </si>
  <si>
    <t>tetaraissa89@gmail.com</t>
  </si>
  <si>
    <t>RCA05119MPD</t>
  </si>
  <si>
    <t>UHIRWE</t>
  </si>
  <si>
    <t>Esther Hope</t>
  </si>
  <si>
    <t>uhirweestherhope@gmail.com</t>
  </si>
  <si>
    <t>GROUPS OF 6 MEMBERS</t>
  </si>
  <si>
    <t>GROUP 1</t>
  </si>
  <si>
    <t>GROUP 4</t>
  </si>
  <si>
    <t>GROUP 2</t>
  </si>
  <si>
    <t>GROUP 5</t>
  </si>
  <si>
    <t>GROUP 3</t>
  </si>
  <si>
    <t>GROUPS OF 5 MEMBERS</t>
  </si>
  <si>
    <t>GROUP 6</t>
  </si>
  <si>
    <t>MOPPING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</si>
</sst>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4"/>
      <name val="Calibri"/>
    </font>
    <font>
      <sz val="11.0"/>
      <color rgb="FFFF0000"/>
      <name val="Calibri"/>
    </font>
    <font>
      <sz val="11.0"/>
      <color theme="5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1" fillId="0" fontId="2" numFmtId="0" xfId="0" applyAlignment="1" applyBorder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14"/>
    <col customWidth="1" min="2" max="2" width="18.0"/>
    <col customWidth="1" min="3" max="3" width="25.14"/>
    <col customWidth="1" min="4" max="4" width="16.29"/>
    <col customWidth="1" min="5" max="5" width="7.57"/>
    <col customWidth="1" min="6" max="6" width="29.86"/>
    <col customWidth="1" min="7" max="7" width="9.71"/>
    <col customWidth="1" min="8" max="8" width="14.14"/>
    <col customWidth="1" min="9" max="9" width="9.0"/>
    <col customWidth="1" min="10" max="10" width="14.14"/>
    <col customWidth="1" min="11" max="11" width="15.0"/>
    <col customWidth="1" min="12" max="20" width="9.0"/>
  </cols>
  <sheetData>
    <row r="1" ht="14.25" customHeight="1">
      <c r="A1" s="1"/>
      <c r="B1" s="2"/>
      <c r="C1" s="2"/>
      <c r="D1" s="2"/>
      <c r="E1" s="2"/>
      <c r="F1" s="2"/>
      <c r="G1" s="2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</row>
    <row r="2" ht="14.25" customHeight="1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/>
      <c r="O2" s="2"/>
      <c r="P2" s="2"/>
      <c r="Q2" s="2"/>
      <c r="R2" s="2"/>
      <c r="S2" s="2"/>
      <c r="T2" s="2"/>
    </row>
    <row r="3" ht="14.25" customHeight="1">
      <c r="A3" s="4">
        <v>14.0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5">
        <v>72.0</v>
      </c>
      <c r="I3" s="5">
        <v>10.0</v>
      </c>
      <c r="J3" s="5">
        <v>10.0</v>
      </c>
      <c r="K3" s="5">
        <v>64.5</v>
      </c>
      <c r="L3" s="6">
        <f t="shared" ref="L3:L32" si="1">(H3/100)*30+I3+J3</f>
        <v>41.6</v>
      </c>
      <c r="M3" s="7">
        <f t="shared" ref="M3:M32" si="2">K3/2</f>
        <v>32.25</v>
      </c>
    </row>
    <row r="4" ht="14.25" customHeight="1">
      <c r="A4" s="4">
        <v>12.0</v>
      </c>
      <c r="B4" s="4" t="s">
        <v>19</v>
      </c>
      <c r="C4" s="4" t="s">
        <v>20</v>
      </c>
      <c r="D4" s="4" t="s">
        <v>21</v>
      </c>
      <c r="E4" s="4" t="s">
        <v>16</v>
      </c>
      <c r="F4" s="4" t="s">
        <v>22</v>
      </c>
      <c r="G4" s="4" t="s">
        <v>18</v>
      </c>
      <c r="H4" s="5">
        <v>90.0</v>
      </c>
      <c r="I4" s="5">
        <v>9.0</v>
      </c>
      <c r="J4" s="5">
        <v>9.0</v>
      </c>
      <c r="K4" s="5">
        <v>75.0</v>
      </c>
      <c r="L4" s="6">
        <f t="shared" si="1"/>
        <v>45</v>
      </c>
      <c r="M4" s="7">
        <f t="shared" si="2"/>
        <v>37.5</v>
      </c>
    </row>
    <row r="5" ht="14.25" customHeight="1">
      <c r="A5" s="4">
        <v>1.0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18</v>
      </c>
      <c r="H5" s="5">
        <v>86.0</v>
      </c>
      <c r="I5" s="5">
        <v>10.0</v>
      </c>
      <c r="J5" s="5">
        <v>10.0</v>
      </c>
      <c r="K5" s="5">
        <v>77.5</v>
      </c>
      <c r="L5" s="6">
        <f t="shared" si="1"/>
        <v>45.8</v>
      </c>
      <c r="M5" s="7">
        <f t="shared" si="2"/>
        <v>38.75</v>
      </c>
      <c r="N5" s="5" t="s">
        <v>28</v>
      </c>
    </row>
    <row r="6" ht="14.25" customHeight="1">
      <c r="A6" s="4">
        <v>2.0</v>
      </c>
      <c r="B6" s="4" t="s">
        <v>29</v>
      </c>
      <c r="C6" s="4" t="s">
        <v>30</v>
      </c>
      <c r="D6" s="4" t="s">
        <v>31</v>
      </c>
      <c r="E6" s="4" t="s">
        <v>26</v>
      </c>
      <c r="F6" s="4" t="s">
        <v>32</v>
      </c>
      <c r="G6" s="4" t="s">
        <v>18</v>
      </c>
      <c r="H6" s="5">
        <v>74.0</v>
      </c>
      <c r="I6" s="5">
        <v>10.0</v>
      </c>
      <c r="J6" s="5">
        <v>8.0</v>
      </c>
      <c r="K6" s="5">
        <v>73.5</v>
      </c>
      <c r="L6" s="6">
        <f t="shared" si="1"/>
        <v>40.2</v>
      </c>
      <c r="M6" s="7">
        <f t="shared" si="2"/>
        <v>36.75</v>
      </c>
    </row>
    <row r="7" ht="14.25" customHeight="1">
      <c r="A7" s="4">
        <v>3.0</v>
      </c>
      <c r="B7" s="4" t="s">
        <v>33</v>
      </c>
      <c r="C7" s="4" t="s">
        <v>34</v>
      </c>
      <c r="D7" s="4" t="s">
        <v>35</v>
      </c>
      <c r="E7" s="4" t="s">
        <v>26</v>
      </c>
      <c r="F7" s="4" t="s">
        <v>36</v>
      </c>
      <c r="G7" s="4" t="s">
        <v>18</v>
      </c>
      <c r="H7" s="5">
        <v>78.0</v>
      </c>
      <c r="I7" s="5">
        <v>10.0</v>
      </c>
      <c r="J7" s="5">
        <v>9.0</v>
      </c>
      <c r="K7" s="5">
        <v>74.0</v>
      </c>
      <c r="L7" s="6">
        <f t="shared" si="1"/>
        <v>42.4</v>
      </c>
      <c r="M7" s="7">
        <f t="shared" si="2"/>
        <v>37</v>
      </c>
    </row>
    <row r="8" ht="14.25" customHeight="1">
      <c r="A8" s="4">
        <v>4.0</v>
      </c>
      <c r="B8" s="4" t="s">
        <v>37</v>
      </c>
      <c r="C8" s="4" t="s">
        <v>38</v>
      </c>
      <c r="D8" s="4" t="s">
        <v>39</v>
      </c>
      <c r="E8" s="4" t="s">
        <v>16</v>
      </c>
      <c r="F8" s="4" t="s">
        <v>40</v>
      </c>
      <c r="G8" s="4" t="s">
        <v>18</v>
      </c>
      <c r="H8" s="5">
        <v>60.0</v>
      </c>
      <c r="I8" s="5">
        <v>9.0</v>
      </c>
      <c r="J8" s="5">
        <v>8.0</v>
      </c>
      <c r="K8" s="5">
        <v>73.0</v>
      </c>
      <c r="L8" s="6">
        <f t="shared" si="1"/>
        <v>35</v>
      </c>
      <c r="M8" s="7">
        <f t="shared" si="2"/>
        <v>36.5</v>
      </c>
    </row>
    <row r="9" ht="14.25" customHeight="1">
      <c r="A9" s="4">
        <v>5.0</v>
      </c>
      <c r="B9" s="4" t="s">
        <v>41</v>
      </c>
      <c r="C9" s="4" t="s">
        <v>42</v>
      </c>
      <c r="D9" s="4" t="s">
        <v>43</v>
      </c>
      <c r="E9" s="4" t="s">
        <v>26</v>
      </c>
      <c r="F9" s="4" t="s">
        <v>44</v>
      </c>
      <c r="G9" s="4" t="s">
        <v>18</v>
      </c>
      <c r="H9" s="5">
        <v>84.0</v>
      </c>
      <c r="I9" s="5">
        <v>9.0</v>
      </c>
      <c r="J9" s="5">
        <v>8.0</v>
      </c>
      <c r="K9" s="5">
        <v>75.0</v>
      </c>
      <c r="L9" s="6">
        <f t="shared" si="1"/>
        <v>42.2</v>
      </c>
      <c r="M9" s="7">
        <f t="shared" si="2"/>
        <v>37.5</v>
      </c>
    </row>
    <row r="10" ht="14.25" customHeight="1">
      <c r="A10" s="4">
        <v>6.0</v>
      </c>
      <c r="B10" s="4" t="s">
        <v>45</v>
      </c>
      <c r="C10" s="4" t="s">
        <v>46</v>
      </c>
      <c r="D10" s="4" t="s">
        <v>47</v>
      </c>
      <c r="E10" s="4" t="s">
        <v>26</v>
      </c>
      <c r="F10" s="4" t="s">
        <v>48</v>
      </c>
      <c r="G10" s="4" t="s">
        <v>18</v>
      </c>
      <c r="H10" s="5">
        <v>83.0</v>
      </c>
      <c r="I10" s="5">
        <v>10.0</v>
      </c>
      <c r="J10" s="5">
        <v>9.0</v>
      </c>
      <c r="K10" s="5">
        <v>85.5</v>
      </c>
      <c r="L10" s="6">
        <f t="shared" si="1"/>
        <v>43.9</v>
      </c>
      <c r="M10" s="7">
        <f t="shared" si="2"/>
        <v>42.75</v>
      </c>
    </row>
    <row r="11" ht="14.25" customHeight="1">
      <c r="A11" s="4">
        <v>7.0</v>
      </c>
      <c r="B11" s="4" t="s">
        <v>49</v>
      </c>
      <c r="C11" s="4" t="s">
        <v>50</v>
      </c>
      <c r="D11" s="4" t="s">
        <v>51</v>
      </c>
      <c r="E11" s="4" t="s">
        <v>16</v>
      </c>
      <c r="F11" s="4" t="s">
        <v>52</v>
      </c>
      <c r="G11" s="4" t="s">
        <v>18</v>
      </c>
      <c r="H11" s="5">
        <v>88.0</v>
      </c>
      <c r="I11" s="5">
        <v>10.0</v>
      </c>
      <c r="J11" s="5">
        <v>9.0</v>
      </c>
      <c r="K11" s="5">
        <v>87.0</v>
      </c>
      <c r="L11" s="6">
        <f t="shared" si="1"/>
        <v>45.4</v>
      </c>
      <c r="M11" s="7">
        <f t="shared" si="2"/>
        <v>43.5</v>
      </c>
    </row>
    <row r="12" ht="14.25" customHeight="1">
      <c r="A12" s="4">
        <v>10.0</v>
      </c>
      <c r="B12" s="4" t="s">
        <v>53</v>
      </c>
      <c r="C12" s="4" t="s">
        <v>54</v>
      </c>
      <c r="D12" s="4" t="s">
        <v>55</v>
      </c>
      <c r="E12" s="4" t="s">
        <v>16</v>
      </c>
      <c r="F12" s="4" t="s">
        <v>56</v>
      </c>
      <c r="G12" s="4" t="s">
        <v>18</v>
      </c>
      <c r="H12" s="5">
        <v>82.0</v>
      </c>
      <c r="I12" s="5">
        <v>10.0</v>
      </c>
      <c r="J12" s="5">
        <v>10.0</v>
      </c>
      <c r="K12" s="5">
        <v>68.0</v>
      </c>
      <c r="L12" s="6">
        <f t="shared" si="1"/>
        <v>44.6</v>
      </c>
      <c r="M12" s="7">
        <f t="shared" si="2"/>
        <v>34</v>
      </c>
      <c r="N12" s="5" t="s">
        <v>57</v>
      </c>
    </row>
    <row r="13" ht="14.25" customHeight="1">
      <c r="A13" s="4">
        <v>11.0</v>
      </c>
      <c r="B13" s="4" t="s">
        <v>58</v>
      </c>
      <c r="C13" s="4" t="s">
        <v>59</v>
      </c>
      <c r="D13" s="4" t="s">
        <v>60</v>
      </c>
      <c r="E13" s="4" t="s">
        <v>16</v>
      </c>
      <c r="F13" s="4" t="s">
        <v>61</v>
      </c>
      <c r="G13" s="4" t="s">
        <v>18</v>
      </c>
      <c r="H13" s="5">
        <v>86.0</v>
      </c>
      <c r="I13" s="5">
        <v>10.0</v>
      </c>
      <c r="J13" s="5">
        <v>10.0</v>
      </c>
      <c r="K13" s="5">
        <v>77.0</v>
      </c>
      <c r="L13" s="6">
        <f t="shared" si="1"/>
        <v>45.8</v>
      </c>
      <c r="M13" s="7">
        <f t="shared" si="2"/>
        <v>38.5</v>
      </c>
    </row>
    <row r="14" ht="14.25" customHeight="1">
      <c r="A14" s="4">
        <v>8.0</v>
      </c>
      <c r="B14" s="4" t="s">
        <v>62</v>
      </c>
      <c r="C14" s="4" t="s">
        <v>63</v>
      </c>
      <c r="D14" s="4" t="s">
        <v>64</v>
      </c>
      <c r="E14" s="4" t="s">
        <v>16</v>
      </c>
      <c r="F14" s="8" t="s">
        <v>65</v>
      </c>
      <c r="G14" s="4" t="s">
        <v>18</v>
      </c>
      <c r="H14" s="5">
        <v>79.0</v>
      </c>
      <c r="I14" s="5">
        <v>10.0</v>
      </c>
      <c r="J14" s="5">
        <v>9.0</v>
      </c>
      <c r="K14" s="5">
        <v>87.0</v>
      </c>
      <c r="L14" s="6">
        <f t="shared" si="1"/>
        <v>42.7</v>
      </c>
      <c r="M14" s="7">
        <f t="shared" si="2"/>
        <v>43.5</v>
      </c>
      <c r="P14" s="5" t="s">
        <v>65</v>
      </c>
    </row>
    <row r="15" ht="14.25" customHeight="1">
      <c r="A15" s="4">
        <v>9.0</v>
      </c>
      <c r="B15" s="4" t="s">
        <v>66</v>
      </c>
      <c r="C15" s="4" t="s">
        <v>67</v>
      </c>
      <c r="D15" s="4" t="s">
        <v>68</v>
      </c>
      <c r="E15" s="4" t="s">
        <v>16</v>
      </c>
      <c r="F15" s="4" t="s">
        <v>69</v>
      </c>
      <c r="G15" s="4" t="s">
        <v>18</v>
      </c>
      <c r="H15" s="5">
        <v>64.0</v>
      </c>
      <c r="I15" s="5">
        <v>10.0</v>
      </c>
      <c r="J15" s="5">
        <v>10.0</v>
      </c>
      <c r="K15" s="5">
        <v>75.0</v>
      </c>
      <c r="L15" s="6">
        <f t="shared" si="1"/>
        <v>39.2</v>
      </c>
      <c r="M15" s="7">
        <f t="shared" si="2"/>
        <v>37.5</v>
      </c>
    </row>
    <row r="16" ht="14.25" customHeight="1">
      <c r="A16" s="4">
        <v>13.0</v>
      </c>
      <c r="B16" s="4" t="s">
        <v>70</v>
      </c>
      <c r="C16" s="4" t="s">
        <v>71</v>
      </c>
      <c r="D16" s="4" t="s">
        <v>72</v>
      </c>
      <c r="E16" s="4" t="s">
        <v>26</v>
      </c>
      <c r="F16" s="4" t="s">
        <v>73</v>
      </c>
      <c r="G16" s="4" t="s">
        <v>18</v>
      </c>
      <c r="H16" s="5">
        <v>65.0</v>
      </c>
      <c r="I16" s="5">
        <v>10.0</v>
      </c>
      <c r="J16" s="5">
        <v>10.0</v>
      </c>
      <c r="K16" s="5">
        <v>73.5</v>
      </c>
      <c r="L16" s="6">
        <f t="shared" si="1"/>
        <v>39.5</v>
      </c>
      <c r="M16" s="7">
        <f t="shared" si="2"/>
        <v>36.75</v>
      </c>
      <c r="N16" s="5" t="s">
        <v>74</v>
      </c>
    </row>
    <row r="17" ht="14.25" customHeight="1">
      <c r="A17" s="4">
        <v>15.0</v>
      </c>
      <c r="B17" s="4" t="s">
        <v>75</v>
      </c>
      <c r="C17" s="4" t="s">
        <v>76</v>
      </c>
      <c r="D17" s="4" t="s">
        <v>77</v>
      </c>
      <c r="E17" s="4" t="s">
        <v>16</v>
      </c>
      <c r="F17" s="4" t="s">
        <v>78</v>
      </c>
      <c r="G17" s="4" t="s">
        <v>18</v>
      </c>
      <c r="H17" s="5">
        <v>62.0</v>
      </c>
      <c r="I17" s="5">
        <v>10.0</v>
      </c>
      <c r="J17" s="5">
        <v>8.0</v>
      </c>
      <c r="K17" s="5">
        <v>64.5</v>
      </c>
      <c r="L17" s="6">
        <f t="shared" si="1"/>
        <v>36.6</v>
      </c>
      <c r="M17" s="7">
        <f t="shared" si="2"/>
        <v>32.25</v>
      </c>
      <c r="N17" s="5" t="s">
        <v>79</v>
      </c>
    </row>
    <row r="18" ht="14.25" customHeight="1">
      <c r="A18" s="4">
        <v>16.0</v>
      </c>
      <c r="B18" s="4" t="s">
        <v>80</v>
      </c>
      <c r="C18" s="4" t="s">
        <v>81</v>
      </c>
      <c r="D18" s="4" t="s">
        <v>82</v>
      </c>
      <c r="E18" s="4" t="s">
        <v>16</v>
      </c>
      <c r="F18" s="4" t="s">
        <v>83</v>
      </c>
      <c r="G18" s="4" t="s">
        <v>18</v>
      </c>
      <c r="H18" s="5">
        <v>37.0</v>
      </c>
      <c r="I18" s="5">
        <v>10.0</v>
      </c>
      <c r="J18" s="5">
        <v>10.0</v>
      </c>
      <c r="K18" s="5">
        <v>71.5</v>
      </c>
      <c r="L18" s="6">
        <f t="shared" si="1"/>
        <v>31.1</v>
      </c>
      <c r="M18" s="7">
        <f t="shared" si="2"/>
        <v>35.75</v>
      </c>
    </row>
    <row r="19" ht="14.25" customHeight="1">
      <c r="A19" s="4">
        <v>17.0</v>
      </c>
      <c r="B19" s="4" t="s">
        <v>84</v>
      </c>
      <c r="C19" s="4" t="s">
        <v>85</v>
      </c>
      <c r="D19" s="4" t="s">
        <v>86</v>
      </c>
      <c r="E19" s="4" t="s">
        <v>26</v>
      </c>
      <c r="F19" s="4" t="s">
        <v>87</v>
      </c>
      <c r="G19" s="4" t="s">
        <v>18</v>
      </c>
      <c r="H19" s="5">
        <v>64.0</v>
      </c>
      <c r="I19" s="5">
        <v>9.0</v>
      </c>
      <c r="J19" s="5">
        <v>9.0</v>
      </c>
      <c r="K19" s="5">
        <v>82.0</v>
      </c>
      <c r="L19" s="6">
        <f t="shared" si="1"/>
        <v>37.2</v>
      </c>
      <c r="M19" s="7">
        <f t="shared" si="2"/>
        <v>41</v>
      </c>
      <c r="N19" s="5" t="s">
        <v>57</v>
      </c>
    </row>
    <row r="20" ht="14.25" customHeight="1">
      <c r="A20" s="4">
        <v>18.0</v>
      </c>
      <c r="B20" s="4" t="s">
        <v>88</v>
      </c>
      <c r="C20" s="4" t="s">
        <v>89</v>
      </c>
      <c r="D20" s="4" t="s">
        <v>86</v>
      </c>
      <c r="E20" s="4" t="s">
        <v>26</v>
      </c>
      <c r="F20" s="4" t="s">
        <v>90</v>
      </c>
      <c r="G20" s="4" t="s">
        <v>18</v>
      </c>
      <c r="H20" s="5">
        <v>58.0</v>
      </c>
      <c r="I20" s="5">
        <v>10.0</v>
      </c>
      <c r="J20" s="5">
        <v>8.0</v>
      </c>
      <c r="K20" s="5">
        <v>52.5</v>
      </c>
      <c r="L20" s="6">
        <f t="shared" si="1"/>
        <v>35.4</v>
      </c>
      <c r="M20" s="7">
        <f t="shared" si="2"/>
        <v>26.25</v>
      </c>
    </row>
    <row r="21" ht="14.25" customHeight="1">
      <c r="A21" s="4">
        <v>19.0</v>
      </c>
      <c r="B21" s="4" t="s">
        <v>91</v>
      </c>
      <c r="C21" s="4" t="s">
        <v>92</v>
      </c>
      <c r="D21" s="4" t="s">
        <v>93</v>
      </c>
      <c r="E21" s="4" t="s">
        <v>26</v>
      </c>
      <c r="F21" s="4" t="s">
        <v>94</v>
      </c>
      <c r="G21" s="4" t="s">
        <v>18</v>
      </c>
      <c r="H21" s="5">
        <v>66.0</v>
      </c>
      <c r="I21" s="5">
        <v>10.0</v>
      </c>
      <c r="J21" s="5">
        <v>8.0</v>
      </c>
      <c r="K21" s="5">
        <v>80.0</v>
      </c>
      <c r="L21" s="6">
        <f t="shared" si="1"/>
        <v>37.8</v>
      </c>
      <c r="M21" s="7">
        <f t="shared" si="2"/>
        <v>40</v>
      </c>
    </row>
    <row r="22" ht="14.25" customHeight="1">
      <c r="A22" s="4">
        <v>20.0</v>
      </c>
      <c r="B22" s="4" t="s">
        <v>95</v>
      </c>
      <c r="C22" s="4" t="s">
        <v>96</v>
      </c>
      <c r="D22" s="4" t="s">
        <v>97</v>
      </c>
      <c r="E22" s="4" t="s">
        <v>26</v>
      </c>
      <c r="F22" s="4" t="s">
        <v>98</v>
      </c>
      <c r="G22" s="4" t="s">
        <v>18</v>
      </c>
      <c r="H22" s="5">
        <v>77.0</v>
      </c>
      <c r="I22" s="5">
        <v>9.0</v>
      </c>
      <c r="J22" s="5">
        <v>9.0</v>
      </c>
      <c r="K22" s="5">
        <v>88.0</v>
      </c>
      <c r="L22" s="6">
        <f t="shared" si="1"/>
        <v>41.1</v>
      </c>
      <c r="M22" s="7">
        <f t="shared" si="2"/>
        <v>44</v>
      </c>
    </row>
    <row r="23" ht="14.25" customHeight="1">
      <c r="A23" s="4">
        <v>30.0</v>
      </c>
      <c r="B23" s="4" t="s">
        <v>99</v>
      </c>
      <c r="C23" s="4" t="s">
        <v>100</v>
      </c>
      <c r="D23" s="4" t="s">
        <v>101</v>
      </c>
      <c r="E23" s="4" t="s">
        <v>16</v>
      </c>
      <c r="F23" s="4" t="s">
        <v>102</v>
      </c>
      <c r="G23" s="4" t="s">
        <v>18</v>
      </c>
      <c r="H23" s="5">
        <v>83.0</v>
      </c>
      <c r="I23" s="5">
        <v>10.0</v>
      </c>
      <c r="J23" s="5">
        <v>10.0</v>
      </c>
      <c r="K23" s="5">
        <v>83.5</v>
      </c>
      <c r="L23" s="6">
        <f t="shared" si="1"/>
        <v>44.9</v>
      </c>
      <c r="M23" s="7">
        <f t="shared" si="2"/>
        <v>41.75</v>
      </c>
      <c r="N23" s="5" t="s">
        <v>57</v>
      </c>
    </row>
    <row r="24" ht="14.25" customHeight="1">
      <c r="A24" s="4">
        <v>21.0</v>
      </c>
      <c r="B24" s="4" t="s">
        <v>103</v>
      </c>
      <c r="C24" s="4" t="s">
        <v>104</v>
      </c>
      <c r="D24" s="4" t="s">
        <v>105</v>
      </c>
      <c r="E24" s="4" t="s">
        <v>16</v>
      </c>
      <c r="F24" s="4" t="s">
        <v>106</v>
      </c>
      <c r="G24" s="4" t="s">
        <v>18</v>
      </c>
      <c r="H24" s="5">
        <v>72.0</v>
      </c>
      <c r="I24" s="5">
        <v>8.0</v>
      </c>
      <c r="J24" s="5">
        <v>9.0</v>
      </c>
      <c r="K24" s="5">
        <v>80.0</v>
      </c>
      <c r="L24" s="6">
        <f t="shared" si="1"/>
        <v>38.6</v>
      </c>
      <c r="M24" s="7">
        <f t="shared" si="2"/>
        <v>40</v>
      </c>
      <c r="N24" s="5" t="s">
        <v>107</v>
      </c>
    </row>
    <row r="25" ht="14.25" customHeight="1">
      <c r="A25" s="4">
        <v>22.0</v>
      </c>
      <c r="B25" s="4" t="s">
        <v>108</v>
      </c>
      <c r="C25" s="4" t="s">
        <v>109</v>
      </c>
      <c r="D25" s="4" t="s">
        <v>110</v>
      </c>
      <c r="E25" s="4" t="s">
        <v>16</v>
      </c>
      <c r="F25" s="4" t="s">
        <v>111</v>
      </c>
      <c r="G25" s="4" t="s">
        <v>18</v>
      </c>
      <c r="H25" s="5">
        <v>78.0</v>
      </c>
      <c r="I25" s="5">
        <v>8.0</v>
      </c>
      <c r="J25" s="5">
        <v>10.0</v>
      </c>
      <c r="K25" s="5">
        <v>81.0</v>
      </c>
      <c r="L25" s="6">
        <f t="shared" si="1"/>
        <v>41.4</v>
      </c>
      <c r="M25" s="7">
        <f t="shared" si="2"/>
        <v>40.5</v>
      </c>
    </row>
    <row r="26" ht="14.25" customHeight="1">
      <c r="A26" s="4">
        <v>23.0</v>
      </c>
      <c r="B26" s="4" t="s">
        <v>112</v>
      </c>
      <c r="C26" s="4" t="s">
        <v>113</v>
      </c>
      <c r="D26" s="4" t="s">
        <v>114</v>
      </c>
      <c r="E26" s="4" t="s">
        <v>26</v>
      </c>
      <c r="F26" s="4" t="s">
        <v>115</v>
      </c>
      <c r="G26" s="4" t="s">
        <v>18</v>
      </c>
      <c r="H26" s="5">
        <v>76.0</v>
      </c>
      <c r="I26" s="5">
        <v>10.0</v>
      </c>
      <c r="J26" s="5">
        <v>10.0</v>
      </c>
      <c r="K26" s="5">
        <v>81.5</v>
      </c>
      <c r="L26" s="6">
        <f t="shared" si="1"/>
        <v>42.8</v>
      </c>
      <c r="M26" s="7">
        <f t="shared" si="2"/>
        <v>40.75</v>
      </c>
    </row>
    <row r="27" ht="14.25" customHeight="1">
      <c r="A27" s="4">
        <v>24.0</v>
      </c>
      <c r="B27" s="4" t="s">
        <v>116</v>
      </c>
      <c r="C27" s="4" t="s">
        <v>117</v>
      </c>
      <c r="D27" s="4" t="s">
        <v>118</v>
      </c>
      <c r="E27" s="4" t="s">
        <v>26</v>
      </c>
      <c r="F27" s="4" t="s">
        <v>119</v>
      </c>
      <c r="G27" s="4" t="s">
        <v>18</v>
      </c>
      <c r="H27" s="5">
        <v>81.0</v>
      </c>
      <c r="I27" s="5">
        <v>9.0</v>
      </c>
      <c r="J27" s="5">
        <v>10.0</v>
      </c>
      <c r="K27" s="5">
        <v>86.5</v>
      </c>
      <c r="L27" s="6">
        <f t="shared" si="1"/>
        <v>43.3</v>
      </c>
      <c r="M27" s="7">
        <f t="shared" si="2"/>
        <v>43.25</v>
      </c>
    </row>
    <row r="28" ht="14.25" customHeight="1">
      <c r="A28" s="4">
        <v>25.0</v>
      </c>
      <c r="B28" s="4" t="s">
        <v>120</v>
      </c>
      <c r="C28" s="4" t="s">
        <v>121</v>
      </c>
      <c r="D28" s="4" t="s">
        <v>122</v>
      </c>
      <c r="E28" s="4" t="s">
        <v>26</v>
      </c>
      <c r="F28" s="4" t="s">
        <v>123</v>
      </c>
      <c r="G28" s="4" t="s">
        <v>18</v>
      </c>
      <c r="H28" s="5">
        <v>58.0</v>
      </c>
      <c r="I28" s="5">
        <v>10.0</v>
      </c>
      <c r="J28" s="5">
        <v>10.0</v>
      </c>
      <c r="K28" s="5">
        <v>95.0</v>
      </c>
      <c r="L28" s="6">
        <f t="shared" si="1"/>
        <v>37.4</v>
      </c>
      <c r="M28" s="7">
        <f t="shared" si="2"/>
        <v>47.5</v>
      </c>
    </row>
    <row r="29" ht="14.25" customHeight="1">
      <c r="A29" s="4">
        <v>26.0</v>
      </c>
      <c r="B29" s="4" t="s">
        <v>124</v>
      </c>
      <c r="C29" s="4" t="s">
        <v>125</v>
      </c>
      <c r="D29" s="4" t="s">
        <v>126</v>
      </c>
      <c r="E29" s="4" t="s">
        <v>26</v>
      </c>
      <c r="F29" s="4" t="s">
        <v>127</v>
      </c>
      <c r="G29" s="4" t="s">
        <v>18</v>
      </c>
      <c r="H29" s="5">
        <v>74.0</v>
      </c>
      <c r="I29" s="9">
        <v>8.0</v>
      </c>
      <c r="J29" s="5">
        <v>8.0</v>
      </c>
      <c r="K29" s="5">
        <v>88.0</v>
      </c>
      <c r="L29" s="6">
        <f t="shared" si="1"/>
        <v>38.2</v>
      </c>
      <c r="M29" s="7">
        <f t="shared" si="2"/>
        <v>44</v>
      </c>
    </row>
    <row r="30" ht="14.25" customHeight="1">
      <c r="A30" s="4">
        <v>27.0</v>
      </c>
      <c r="B30" s="4" t="s">
        <v>128</v>
      </c>
      <c r="C30" s="4" t="s">
        <v>129</v>
      </c>
      <c r="D30" s="4" t="s">
        <v>130</v>
      </c>
      <c r="E30" s="4" t="s">
        <v>16</v>
      </c>
      <c r="F30" s="4" t="s">
        <v>131</v>
      </c>
      <c r="G30" s="4" t="s">
        <v>18</v>
      </c>
      <c r="H30" s="5">
        <v>80.0</v>
      </c>
      <c r="I30" s="5">
        <v>10.0</v>
      </c>
      <c r="J30" s="5">
        <v>10.0</v>
      </c>
      <c r="K30" s="5">
        <v>79.5</v>
      </c>
      <c r="L30" s="6">
        <f t="shared" si="1"/>
        <v>44</v>
      </c>
      <c r="M30" s="7">
        <f t="shared" si="2"/>
        <v>39.75</v>
      </c>
      <c r="N30" s="5" t="s">
        <v>74</v>
      </c>
    </row>
    <row r="31" ht="14.25" customHeight="1">
      <c r="A31" s="4">
        <v>28.0</v>
      </c>
      <c r="B31" s="4" t="s">
        <v>132</v>
      </c>
      <c r="C31" s="4" t="s">
        <v>133</v>
      </c>
      <c r="D31" s="4" t="s">
        <v>134</v>
      </c>
      <c r="E31" s="4" t="s">
        <v>16</v>
      </c>
      <c r="F31" s="4" t="s">
        <v>135</v>
      </c>
      <c r="G31" s="4" t="s">
        <v>18</v>
      </c>
      <c r="H31" s="5">
        <v>62.0</v>
      </c>
      <c r="I31" s="5">
        <v>10.0</v>
      </c>
      <c r="J31" s="5">
        <v>10.0</v>
      </c>
      <c r="K31" s="5">
        <v>62.0</v>
      </c>
      <c r="L31" s="6">
        <f t="shared" si="1"/>
        <v>38.6</v>
      </c>
      <c r="M31" s="7">
        <f t="shared" si="2"/>
        <v>31</v>
      </c>
    </row>
    <row r="32" ht="14.25" customHeight="1">
      <c r="A32" s="4">
        <v>29.0</v>
      </c>
      <c r="B32" s="4" t="s">
        <v>136</v>
      </c>
      <c r="C32" s="4" t="s">
        <v>137</v>
      </c>
      <c r="D32" s="4" t="s">
        <v>138</v>
      </c>
      <c r="E32" s="4" t="s">
        <v>16</v>
      </c>
      <c r="F32" s="4" t="s">
        <v>139</v>
      </c>
      <c r="G32" s="4" t="s">
        <v>18</v>
      </c>
      <c r="H32" s="5">
        <v>70.0</v>
      </c>
      <c r="I32" s="5">
        <v>10.0</v>
      </c>
      <c r="J32" s="5">
        <v>10.0</v>
      </c>
      <c r="K32" s="5">
        <v>85.5</v>
      </c>
      <c r="L32" s="6">
        <f t="shared" si="1"/>
        <v>41</v>
      </c>
      <c r="M32" s="7">
        <f t="shared" si="2"/>
        <v>42.75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0.71"/>
    <col customWidth="1" min="3" max="3" width="27.29"/>
    <col customWidth="1" min="4" max="4" width="13.86"/>
    <col customWidth="1" min="5" max="9" width="9.14"/>
    <col customWidth="1" min="10" max="10" width="27.57"/>
    <col customWidth="1" min="11" max="11" width="24.71"/>
    <col customWidth="1" min="12" max="13" width="9.14"/>
    <col customWidth="1" min="14" max="14" width="23.86"/>
    <col customWidth="1" min="15" max="15" width="20.14"/>
    <col customWidth="1" min="16" max="16" width="23.43"/>
    <col customWidth="1" min="17" max="17" width="21.86"/>
    <col customWidth="1" min="18" max="18" width="19.0"/>
    <col customWidth="1" min="19" max="26" width="9.14"/>
  </cols>
  <sheetData>
    <row r="1" ht="14.25" customHeight="1">
      <c r="A1" s="2"/>
      <c r="B1" s="3"/>
      <c r="C1" s="3"/>
      <c r="D1" s="3"/>
      <c r="E1" s="3"/>
      <c r="F1" s="3"/>
      <c r="G1" s="3"/>
    </row>
    <row r="2" ht="14.25" customHeight="1">
      <c r="A2" s="4"/>
      <c r="B2" s="4"/>
      <c r="E2" s="4"/>
      <c r="F2" s="4"/>
      <c r="G2" s="4"/>
    </row>
    <row r="3" ht="14.25" customHeight="1">
      <c r="A3" s="4"/>
      <c r="B3" s="4"/>
      <c r="E3" s="4"/>
      <c r="F3" s="4"/>
      <c r="G3" s="4"/>
      <c r="K3" s="10" t="s">
        <v>140</v>
      </c>
    </row>
    <row r="4" ht="14.25" customHeight="1">
      <c r="A4" s="4"/>
      <c r="B4" s="4"/>
      <c r="E4" s="4"/>
      <c r="F4" s="4"/>
      <c r="G4" s="4"/>
      <c r="J4" s="11" t="s">
        <v>141</v>
      </c>
      <c r="K4" s="11"/>
      <c r="L4" s="11"/>
      <c r="M4" s="11"/>
      <c r="N4" s="11" t="s">
        <v>142</v>
      </c>
    </row>
    <row r="5" ht="14.25" customHeight="1">
      <c r="A5" s="4"/>
      <c r="B5" s="4"/>
      <c r="E5" s="4"/>
      <c r="F5" s="4"/>
      <c r="G5" s="4"/>
    </row>
    <row r="6" ht="14.25" customHeight="1">
      <c r="A6" s="4"/>
      <c r="B6" s="4"/>
      <c r="E6" s="4"/>
      <c r="F6" s="4"/>
      <c r="G6" s="4"/>
      <c r="J6" s="4" t="s">
        <v>42</v>
      </c>
      <c r="K6" s="4" t="s">
        <v>43</v>
      </c>
      <c r="N6" s="4" t="s">
        <v>14</v>
      </c>
      <c r="O6" s="4" t="s">
        <v>15</v>
      </c>
    </row>
    <row r="7" ht="14.25" customHeight="1">
      <c r="A7" s="4"/>
      <c r="B7" s="4"/>
      <c r="E7" s="4"/>
      <c r="F7" s="4"/>
      <c r="G7" s="4"/>
      <c r="J7" s="4" t="s">
        <v>67</v>
      </c>
      <c r="K7" s="4" t="s">
        <v>68</v>
      </c>
      <c r="N7" s="4" t="s">
        <v>76</v>
      </c>
      <c r="O7" s="4" t="s">
        <v>77</v>
      </c>
    </row>
    <row r="8" ht="14.25" customHeight="1">
      <c r="A8" s="4"/>
      <c r="B8" s="4"/>
      <c r="E8" s="4"/>
      <c r="F8" s="4"/>
      <c r="G8" s="4"/>
      <c r="J8" s="4" t="s">
        <v>96</v>
      </c>
      <c r="K8" s="4" t="s">
        <v>97</v>
      </c>
      <c r="N8" s="4" t="s">
        <v>63</v>
      </c>
      <c r="O8" s="4" t="s">
        <v>64</v>
      </c>
    </row>
    <row r="9" ht="14.25" customHeight="1">
      <c r="A9" s="4"/>
      <c r="B9" s="4"/>
      <c r="E9" s="4"/>
      <c r="F9" s="4"/>
      <c r="G9" s="4"/>
      <c r="J9" s="4" t="s">
        <v>59</v>
      </c>
      <c r="K9" s="4" t="s">
        <v>60</v>
      </c>
      <c r="N9" s="4" t="s">
        <v>113</v>
      </c>
      <c r="O9" s="4" t="s">
        <v>114</v>
      </c>
    </row>
    <row r="10" ht="14.25" customHeight="1">
      <c r="A10" s="4"/>
      <c r="B10" s="4"/>
      <c r="E10" s="4"/>
      <c r="F10" s="4"/>
      <c r="G10" s="4"/>
      <c r="J10" s="4" t="s">
        <v>20</v>
      </c>
      <c r="K10" s="4" t="s">
        <v>21</v>
      </c>
      <c r="N10" s="4" t="s">
        <v>117</v>
      </c>
      <c r="O10" s="4" t="s">
        <v>118</v>
      </c>
    </row>
    <row r="11" ht="14.25" customHeight="1">
      <c r="A11" s="4"/>
      <c r="B11" s="4"/>
      <c r="E11" s="4"/>
      <c r="F11" s="4"/>
      <c r="G11" s="4"/>
      <c r="J11" s="4" t="s">
        <v>46</v>
      </c>
      <c r="K11" s="4" t="s">
        <v>47</v>
      </c>
      <c r="N11" s="4" t="s">
        <v>125</v>
      </c>
      <c r="O11" s="4" t="s">
        <v>126</v>
      </c>
    </row>
    <row r="12" ht="14.25" customHeight="1">
      <c r="A12" s="4"/>
      <c r="B12" s="4"/>
      <c r="E12" s="4"/>
      <c r="F12" s="4"/>
      <c r="G12" s="4"/>
    </row>
    <row r="13" ht="14.25" customHeight="1">
      <c r="A13" s="4"/>
      <c r="B13" s="4"/>
      <c r="E13" s="4"/>
      <c r="F13" s="4"/>
      <c r="G13" s="4"/>
    </row>
    <row r="14" ht="14.25" customHeight="1">
      <c r="A14" s="4"/>
      <c r="B14" s="4"/>
      <c r="E14" s="4"/>
      <c r="F14" s="4"/>
      <c r="G14" s="4"/>
      <c r="J14" s="11" t="s">
        <v>143</v>
      </c>
      <c r="K14" s="11"/>
      <c r="L14" s="11"/>
      <c r="M14" s="11"/>
      <c r="N14" s="11" t="s">
        <v>144</v>
      </c>
    </row>
    <row r="15" ht="14.25" customHeight="1">
      <c r="A15" s="4"/>
      <c r="B15" s="4"/>
      <c r="E15" s="4"/>
      <c r="F15" s="4"/>
      <c r="G15" s="4"/>
    </row>
    <row r="16" ht="14.25" customHeight="1">
      <c r="A16" s="4"/>
      <c r="B16" s="4"/>
      <c r="E16" s="4"/>
      <c r="F16" s="4"/>
      <c r="G16" s="4"/>
      <c r="J16" s="4" t="s">
        <v>54</v>
      </c>
      <c r="K16" s="4" t="s">
        <v>55</v>
      </c>
      <c r="N16" s="4" t="s">
        <v>133</v>
      </c>
      <c r="O16" s="4" t="s">
        <v>134</v>
      </c>
    </row>
    <row r="17" ht="14.25" customHeight="1">
      <c r="A17" s="4"/>
      <c r="B17" s="4"/>
      <c r="E17" s="4"/>
      <c r="F17" s="4"/>
      <c r="G17" s="4"/>
      <c r="J17" s="4" t="s">
        <v>24</v>
      </c>
      <c r="K17" s="4" t="s">
        <v>25</v>
      </c>
      <c r="N17" s="4" t="s">
        <v>50</v>
      </c>
      <c r="O17" s="4" t="s">
        <v>51</v>
      </c>
    </row>
    <row r="18" ht="14.25" customHeight="1">
      <c r="A18" s="4"/>
      <c r="B18" s="4"/>
      <c r="E18" s="4"/>
      <c r="F18" s="4"/>
      <c r="G18" s="4"/>
      <c r="J18" s="4" t="s">
        <v>30</v>
      </c>
      <c r="K18" s="4" t="s">
        <v>31</v>
      </c>
      <c r="N18" s="4" t="s">
        <v>104</v>
      </c>
      <c r="O18" s="4" t="s">
        <v>105</v>
      </c>
    </row>
    <row r="19" ht="14.25" customHeight="1">
      <c r="A19" s="4"/>
      <c r="B19" s="4"/>
      <c r="E19" s="4"/>
      <c r="F19" s="4"/>
      <c r="G19" s="4"/>
      <c r="J19" s="4" t="s">
        <v>34</v>
      </c>
      <c r="K19" s="4" t="s">
        <v>35</v>
      </c>
      <c r="N19" s="4" t="s">
        <v>85</v>
      </c>
      <c r="O19" s="4" t="s">
        <v>86</v>
      </c>
    </row>
    <row r="20" ht="14.25" customHeight="1">
      <c r="A20" s="4"/>
      <c r="B20" s="4"/>
      <c r="E20" s="4"/>
      <c r="F20" s="4"/>
      <c r="G20" s="4"/>
      <c r="J20" s="4" t="s">
        <v>109</v>
      </c>
      <c r="K20" s="4" t="s">
        <v>110</v>
      </c>
      <c r="N20" s="4" t="s">
        <v>89</v>
      </c>
      <c r="O20" s="4" t="s">
        <v>86</v>
      </c>
    </row>
    <row r="21" ht="14.25" customHeight="1">
      <c r="A21" s="4"/>
      <c r="B21" s="4"/>
      <c r="E21" s="4"/>
      <c r="F21" s="4"/>
      <c r="G21" s="4"/>
      <c r="J21" s="4" t="s">
        <v>71</v>
      </c>
      <c r="K21" s="4" t="s">
        <v>72</v>
      </c>
      <c r="N21" s="4" t="s">
        <v>92</v>
      </c>
      <c r="O21" s="4" t="s">
        <v>93</v>
      </c>
    </row>
    <row r="22" ht="14.25" customHeight="1">
      <c r="A22" s="4"/>
      <c r="B22" s="4"/>
      <c r="E22" s="4"/>
      <c r="F22" s="4"/>
      <c r="G22" s="4"/>
    </row>
    <row r="23" ht="14.25" customHeight="1">
      <c r="A23" s="4"/>
      <c r="B23" s="4"/>
      <c r="E23" s="4"/>
      <c r="F23" s="4"/>
      <c r="G23" s="4"/>
    </row>
    <row r="24" ht="14.25" customHeight="1">
      <c r="A24" s="4"/>
      <c r="B24" s="4"/>
      <c r="E24" s="4"/>
      <c r="F24" s="4"/>
      <c r="G24" s="4"/>
      <c r="J24" s="11" t="s">
        <v>145</v>
      </c>
    </row>
    <row r="25" ht="14.25" customHeight="1">
      <c r="A25" s="4"/>
      <c r="B25" s="4"/>
      <c r="E25" s="4"/>
      <c r="F25" s="4"/>
      <c r="G25" s="4"/>
    </row>
    <row r="26" ht="14.25" customHeight="1">
      <c r="A26" s="4"/>
      <c r="B26" s="4"/>
      <c r="E26" s="4"/>
      <c r="F26" s="4"/>
      <c r="G26" s="4"/>
      <c r="J26" s="4" t="s">
        <v>137</v>
      </c>
      <c r="K26" s="4" t="s">
        <v>138</v>
      </c>
    </row>
    <row r="27" ht="14.25" customHeight="1">
      <c r="A27" s="4"/>
      <c r="B27" s="4"/>
      <c r="E27" s="4"/>
      <c r="F27" s="4"/>
      <c r="G27" s="4"/>
      <c r="J27" s="4" t="s">
        <v>81</v>
      </c>
      <c r="K27" s="4" t="s">
        <v>82</v>
      </c>
    </row>
    <row r="28" ht="14.25" customHeight="1">
      <c r="A28" s="4"/>
      <c r="B28" s="4"/>
      <c r="E28" s="4"/>
      <c r="F28" s="4"/>
      <c r="G28" s="4"/>
      <c r="J28" s="4" t="s">
        <v>100</v>
      </c>
      <c r="K28" s="4" t="s">
        <v>101</v>
      </c>
    </row>
    <row r="29" ht="14.25" customHeight="1">
      <c r="A29" s="4"/>
      <c r="B29" s="4"/>
      <c r="E29" s="4"/>
      <c r="F29" s="4"/>
      <c r="G29" s="4"/>
      <c r="J29" s="4" t="s">
        <v>121</v>
      </c>
      <c r="K29" s="4" t="s">
        <v>122</v>
      </c>
    </row>
    <row r="30" ht="14.25" customHeight="1">
      <c r="A30" s="4"/>
      <c r="B30" s="4"/>
      <c r="E30" s="4"/>
      <c r="F30" s="4"/>
      <c r="G30" s="4"/>
      <c r="J30" s="4" t="s">
        <v>38</v>
      </c>
      <c r="K30" s="4" t="s">
        <v>39</v>
      </c>
    </row>
    <row r="31" ht="14.25" customHeight="1">
      <c r="A31" s="4"/>
      <c r="B31" s="4"/>
      <c r="E31" s="4"/>
      <c r="F31" s="4"/>
      <c r="G31" s="4"/>
      <c r="J31" s="4" t="s">
        <v>129</v>
      </c>
      <c r="K31" s="4" t="s">
        <v>130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>
      <c r="K37" s="12"/>
      <c r="L37" s="12"/>
      <c r="M37" s="12"/>
      <c r="N37" s="12"/>
      <c r="O37" s="12"/>
      <c r="P37" s="12"/>
      <c r="Q37" s="1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>
      <c r="K54" s="10" t="s">
        <v>146</v>
      </c>
    </row>
    <row r="55" ht="14.25" customHeight="1"/>
    <row r="56" ht="14.25" customHeight="1"/>
    <row r="57" ht="14.25" customHeight="1">
      <c r="J57" s="11" t="s">
        <v>141</v>
      </c>
      <c r="K57" s="11"/>
      <c r="N57" s="11" t="s">
        <v>143</v>
      </c>
      <c r="O57" s="11"/>
      <c r="Q57" s="11" t="s">
        <v>145</v>
      </c>
    </row>
    <row r="58" ht="14.25" customHeight="1"/>
    <row r="59" ht="14.25" customHeight="1">
      <c r="J59" s="4" t="s">
        <v>42</v>
      </c>
      <c r="K59" s="4" t="s">
        <v>43</v>
      </c>
      <c r="N59" s="4" t="s">
        <v>54</v>
      </c>
      <c r="O59" s="4" t="s">
        <v>55</v>
      </c>
      <c r="Q59" s="4" t="s">
        <v>137</v>
      </c>
      <c r="R59" s="4" t="s">
        <v>138</v>
      </c>
    </row>
    <row r="60" ht="14.25" customHeight="1">
      <c r="J60" s="4" t="s">
        <v>67</v>
      </c>
      <c r="K60" s="4" t="s">
        <v>68</v>
      </c>
      <c r="N60" s="4" t="s">
        <v>24</v>
      </c>
      <c r="O60" s="4" t="s">
        <v>25</v>
      </c>
      <c r="Q60" s="4" t="s">
        <v>100</v>
      </c>
      <c r="R60" s="4" t="s">
        <v>101</v>
      </c>
    </row>
    <row r="61" ht="14.25" customHeight="1">
      <c r="J61" s="4" t="s">
        <v>96</v>
      </c>
      <c r="K61" s="4" t="s">
        <v>97</v>
      </c>
      <c r="N61" s="4" t="s">
        <v>30</v>
      </c>
      <c r="O61" s="4" t="s">
        <v>31</v>
      </c>
      <c r="Q61" s="4" t="s">
        <v>121</v>
      </c>
      <c r="R61" s="4" t="s">
        <v>122</v>
      </c>
    </row>
    <row r="62" ht="14.25" customHeight="1">
      <c r="J62" s="4" t="s">
        <v>59</v>
      </c>
      <c r="K62" s="4" t="s">
        <v>60</v>
      </c>
      <c r="N62" s="4" t="s">
        <v>34</v>
      </c>
      <c r="O62" s="4" t="s">
        <v>35</v>
      </c>
      <c r="Q62" s="4" t="s">
        <v>38</v>
      </c>
      <c r="R62" s="4" t="s">
        <v>39</v>
      </c>
    </row>
    <row r="63" ht="14.25" customHeight="1">
      <c r="J63" s="4" t="s">
        <v>20</v>
      </c>
      <c r="K63" s="4" t="s">
        <v>21</v>
      </c>
      <c r="N63" s="4" t="s">
        <v>109</v>
      </c>
      <c r="O63" s="4" t="s">
        <v>110</v>
      </c>
      <c r="Q63" s="4" t="s">
        <v>129</v>
      </c>
      <c r="R63" s="4" t="s">
        <v>130</v>
      </c>
    </row>
    <row r="64" ht="14.25" customHeight="1">
      <c r="Q64" s="4"/>
      <c r="R64" s="4"/>
    </row>
    <row r="65" ht="14.25" customHeight="1"/>
    <row r="66" ht="14.25" customHeight="1"/>
    <row r="67" ht="14.25" customHeight="1"/>
    <row r="68" ht="14.25" customHeight="1"/>
    <row r="69" ht="14.25" customHeight="1">
      <c r="J69" s="11" t="s">
        <v>142</v>
      </c>
      <c r="N69" s="12" t="s">
        <v>144</v>
      </c>
      <c r="Q69" s="11" t="s">
        <v>147</v>
      </c>
    </row>
    <row r="70" ht="14.25" customHeight="1"/>
    <row r="71" ht="14.25" customHeight="1">
      <c r="J71" s="4" t="s">
        <v>14</v>
      </c>
      <c r="K71" s="4" t="s">
        <v>15</v>
      </c>
      <c r="N71" s="4" t="s">
        <v>113</v>
      </c>
      <c r="O71" s="4" t="s">
        <v>114</v>
      </c>
      <c r="Q71" s="4" t="s">
        <v>133</v>
      </c>
      <c r="R71" s="4" t="s">
        <v>134</v>
      </c>
    </row>
    <row r="72" ht="14.25" customHeight="1">
      <c r="J72" s="4" t="s">
        <v>76</v>
      </c>
      <c r="K72" s="4" t="s">
        <v>77</v>
      </c>
      <c r="N72" s="4" t="s">
        <v>125</v>
      </c>
      <c r="O72" s="4" t="s">
        <v>126</v>
      </c>
      <c r="Q72" s="4" t="s">
        <v>50</v>
      </c>
      <c r="R72" s="4" t="s">
        <v>51</v>
      </c>
    </row>
    <row r="73" ht="14.25" customHeight="1">
      <c r="J73" s="4" t="s">
        <v>63</v>
      </c>
      <c r="K73" s="4" t="s">
        <v>64</v>
      </c>
      <c r="N73" s="4" t="s">
        <v>71</v>
      </c>
      <c r="O73" s="4" t="s">
        <v>72</v>
      </c>
      <c r="Q73" s="4" t="s">
        <v>85</v>
      </c>
      <c r="R73" s="4" t="s">
        <v>86</v>
      </c>
    </row>
    <row r="74" ht="14.25" customHeight="1">
      <c r="J74" s="4" t="s">
        <v>117</v>
      </c>
      <c r="K74" s="4" t="s">
        <v>118</v>
      </c>
      <c r="N74" s="4" t="s">
        <v>104</v>
      </c>
      <c r="O74" s="4" t="s">
        <v>105</v>
      </c>
      <c r="Q74" s="4" t="s">
        <v>89</v>
      </c>
      <c r="R74" s="4" t="s">
        <v>86</v>
      </c>
    </row>
    <row r="75" ht="14.25" customHeight="1">
      <c r="J75" s="4" t="s">
        <v>46</v>
      </c>
      <c r="K75" s="4" t="s">
        <v>47</v>
      </c>
      <c r="N75" s="4" t="s">
        <v>81</v>
      </c>
      <c r="O75" s="4" t="s">
        <v>82</v>
      </c>
      <c r="Q75" s="4" t="s">
        <v>92</v>
      </c>
      <c r="R75" s="4" t="s">
        <v>93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>
      <c r="N94" s="10" t="s">
        <v>148</v>
      </c>
    </row>
    <row r="95" ht="14.25" customHeight="1"/>
    <row r="96" ht="14.25" customHeight="1"/>
    <row r="97" ht="14.25" customHeight="1">
      <c r="J97" s="11" t="s">
        <v>141</v>
      </c>
      <c r="N97" s="11" t="s">
        <v>143</v>
      </c>
      <c r="Q97" s="11" t="s">
        <v>145</v>
      </c>
    </row>
    <row r="98" ht="14.25" customHeight="1"/>
    <row r="99" ht="14.25" customHeight="1">
      <c r="J99" s="4" t="s">
        <v>54</v>
      </c>
      <c r="K99" s="4" t="s">
        <v>55</v>
      </c>
      <c r="N99" s="4" t="s">
        <v>42</v>
      </c>
      <c r="O99" s="4" t="s">
        <v>43</v>
      </c>
      <c r="Q99" s="4" t="s">
        <v>137</v>
      </c>
      <c r="R99" s="4" t="s">
        <v>138</v>
      </c>
    </row>
    <row r="100" ht="14.25" customHeight="1">
      <c r="J100" s="4" t="s">
        <v>24</v>
      </c>
      <c r="K100" s="4" t="s">
        <v>25</v>
      </c>
      <c r="N100" s="4" t="s">
        <v>67</v>
      </c>
      <c r="O100" s="4" t="s">
        <v>68</v>
      </c>
      <c r="Q100" s="4" t="s">
        <v>81</v>
      </c>
      <c r="R100" s="4" t="s">
        <v>82</v>
      </c>
    </row>
    <row r="101" ht="14.25" customHeight="1">
      <c r="J101" s="4" t="s">
        <v>30</v>
      </c>
      <c r="K101" s="4" t="s">
        <v>31</v>
      </c>
      <c r="N101" s="4" t="s">
        <v>20</v>
      </c>
      <c r="O101" s="4" t="s">
        <v>21</v>
      </c>
      <c r="Q101" s="4" t="s">
        <v>100</v>
      </c>
      <c r="R101" s="4" t="s">
        <v>101</v>
      </c>
    </row>
    <row r="102" ht="14.25" customHeight="1">
      <c r="J102" s="4" t="s">
        <v>96</v>
      </c>
      <c r="K102" s="4" t="s">
        <v>97</v>
      </c>
      <c r="N102" s="4" t="s">
        <v>46</v>
      </c>
      <c r="O102" s="4" t="s">
        <v>47</v>
      </c>
      <c r="Q102" s="4" t="s">
        <v>121</v>
      </c>
      <c r="R102" s="4" t="s">
        <v>122</v>
      </c>
    </row>
    <row r="103" ht="14.25" customHeight="1">
      <c r="J103" s="4" t="s">
        <v>59</v>
      </c>
      <c r="K103" s="4" t="s">
        <v>60</v>
      </c>
      <c r="N103" s="4" t="s">
        <v>34</v>
      </c>
      <c r="O103" s="4" t="s">
        <v>35</v>
      </c>
      <c r="Q103" s="4" t="s">
        <v>38</v>
      </c>
      <c r="R103" s="4" t="s">
        <v>39</v>
      </c>
    </row>
    <row r="104" ht="14.25" customHeight="1"/>
    <row r="105" ht="14.25" customHeight="1"/>
    <row r="106" ht="14.25" customHeight="1">
      <c r="J106" s="11" t="s">
        <v>142</v>
      </c>
      <c r="N106" s="11" t="s">
        <v>144</v>
      </c>
      <c r="Q106" s="11" t="s">
        <v>147</v>
      </c>
    </row>
    <row r="107" ht="14.25" customHeight="1">
      <c r="J107" s="4" t="s">
        <v>129</v>
      </c>
      <c r="K107" s="4" t="s">
        <v>130</v>
      </c>
      <c r="N107" s="4" t="s">
        <v>109</v>
      </c>
      <c r="O107" s="4" t="s">
        <v>110</v>
      </c>
      <c r="Q107" s="4" t="s">
        <v>50</v>
      </c>
      <c r="R107" s="4" t="s">
        <v>51</v>
      </c>
    </row>
    <row r="108" ht="14.25" customHeight="1">
      <c r="J108" s="4" t="s">
        <v>14</v>
      </c>
      <c r="K108" s="4" t="s">
        <v>15</v>
      </c>
      <c r="N108" s="4" t="s">
        <v>71</v>
      </c>
      <c r="O108" s="4" t="s">
        <v>72</v>
      </c>
      <c r="Q108" s="4" t="s">
        <v>104</v>
      </c>
      <c r="R108" s="4" t="s">
        <v>105</v>
      </c>
    </row>
    <row r="109" ht="14.25" customHeight="1">
      <c r="J109" s="4" t="s">
        <v>76</v>
      </c>
      <c r="K109" s="4" t="s">
        <v>77</v>
      </c>
      <c r="N109" s="4" t="s">
        <v>117</v>
      </c>
      <c r="O109" s="4" t="s">
        <v>118</v>
      </c>
      <c r="Q109" s="4" t="s">
        <v>85</v>
      </c>
      <c r="R109" s="4" t="s">
        <v>86</v>
      </c>
    </row>
    <row r="110" ht="14.25" customHeight="1">
      <c r="J110" s="4" t="s">
        <v>63</v>
      </c>
      <c r="K110" s="4" t="s">
        <v>64</v>
      </c>
      <c r="N110" s="4" t="s">
        <v>125</v>
      </c>
      <c r="O110" s="4" t="s">
        <v>126</v>
      </c>
      <c r="Q110" s="4" t="s">
        <v>89</v>
      </c>
      <c r="R110" s="4" t="s">
        <v>86</v>
      </c>
    </row>
    <row r="111" ht="14.25" customHeight="1">
      <c r="J111" s="4" t="s">
        <v>113</v>
      </c>
      <c r="K111" s="4" t="s">
        <v>114</v>
      </c>
      <c r="N111" s="4" t="s">
        <v>133</v>
      </c>
      <c r="O111" s="4" t="s">
        <v>134</v>
      </c>
      <c r="Q111" s="4" t="s">
        <v>92</v>
      </c>
      <c r="R111" s="4" t="s">
        <v>93</v>
      </c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2024-09-02T10:57:00Z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19CF398B5A3A43028ECC99362FB2C7EF_12</vt:lpwstr>
  </property>
  <property fmtid="{D5CDD505-2E9C-101B-9397-08002B2CF9AE}" pid="3" name="KSOProductBuildVer">
    <vt:lpwstr>1033-12.2.0.13472</vt:lpwstr>
  </property>
</Properties>
</file>